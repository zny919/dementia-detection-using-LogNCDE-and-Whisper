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PaperSource\whisper1_12\2020\lastK(no)(1)\"/>
    </mc:Choice>
  </mc:AlternateContent>
  <xr:revisionPtr revIDLastSave="0" documentId="13_ncr:1_{81E97169-9C22-4899-A7E5-E195F28573AB}" xr6:coauthVersionLast="47" xr6:coauthVersionMax="47" xr10:uidLastSave="{00000000-0000-0000-0000-000000000000}"/>
  <bookViews>
    <workbookView xWindow="3310" yWindow="2210" windowWidth="19200" windowHeight="11710" firstSheet="3" activeTab="12" xr2:uid="{76CE1479-2C92-4C33-9AC6-3391854D46CB}"/>
  </bookViews>
  <sheets>
    <sheet name="7" sheetId="5" r:id="rId1"/>
    <sheet name="10" sheetId="4" r:id="rId2"/>
    <sheet name="8" sheetId="6" r:id="rId3"/>
    <sheet name="11" sheetId="3" r:id="rId4"/>
    <sheet name="1" sheetId="19" r:id="rId5"/>
    <sheet name="12" sheetId="16" r:id="rId6"/>
    <sheet name="3" sheetId="12" r:id="rId7"/>
    <sheet name="2" sheetId="11" r:id="rId8"/>
    <sheet name="5" sheetId="17" r:id="rId9"/>
    <sheet name="6" sheetId="8" r:id="rId10"/>
    <sheet name="4" sheetId="13" r:id="rId11"/>
    <sheet name="9" sheetId="7" r:id="rId12"/>
    <sheet name="Sheet1" sheetId="1" r:id="rId13"/>
  </sheets>
  <definedNames>
    <definedName name="ExternalData_1" localSheetId="11" hidden="1">'9'!$A$1:$I$6</definedName>
    <definedName name="ExternalData_2" localSheetId="3" hidden="1">'11'!$A$1:$I$6</definedName>
    <definedName name="ExternalData_2" localSheetId="10" hidden="1">'4'!$A$1:$I$6</definedName>
    <definedName name="ExternalData_2" localSheetId="9" hidden="1">'6'!$A$1:$I$6</definedName>
    <definedName name="ExternalData_3" localSheetId="1" hidden="1">'10'!$A$1:$I$6</definedName>
    <definedName name="ExternalData_3" localSheetId="2" hidden="1">'8'!$A$1:$I$6</definedName>
    <definedName name="ExternalData_4" localSheetId="8" hidden="1">'5'!$A$1:$I$6</definedName>
    <definedName name="ExternalData_4" localSheetId="0" hidden="1">'7'!$A$1:$I$6</definedName>
    <definedName name="ExternalData_5" localSheetId="7" hidden="1">'2'!$A$1:$I$6</definedName>
    <definedName name="ExternalData_6" localSheetId="6" hidden="1">'3'!$A$1:$I$6</definedName>
    <definedName name="ExternalData_8" localSheetId="5" hidden="1">'12'!$A$1:$I$6</definedName>
    <definedName name="ExternalData_9" localSheetId="4" hidden="1">'1'!$A$1:$I$6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9" l="1"/>
  <c r="H7" i="19"/>
  <c r="G7" i="19"/>
  <c r="F7" i="19"/>
  <c r="E7" i="19"/>
  <c r="D7" i="19"/>
  <c r="C7" i="19"/>
  <c r="B7" i="19"/>
  <c r="C7" i="17" l="1"/>
  <c r="D7" i="17"/>
  <c r="E7" i="17"/>
  <c r="F7" i="17"/>
  <c r="G7" i="17"/>
  <c r="H7" i="17"/>
  <c r="I7" i="17"/>
  <c r="B7" i="17"/>
  <c r="C7" i="16"/>
  <c r="D7" i="16"/>
  <c r="E7" i="16"/>
  <c r="F7" i="16"/>
  <c r="G7" i="16"/>
  <c r="H7" i="16"/>
  <c r="I7" i="16"/>
  <c r="B7" i="16"/>
  <c r="C7" i="8"/>
  <c r="D7" i="8"/>
  <c r="E7" i="8"/>
  <c r="F7" i="8"/>
  <c r="G7" i="8"/>
  <c r="H7" i="8"/>
  <c r="I7" i="8"/>
  <c r="C7" i="13"/>
  <c r="D7" i="13"/>
  <c r="E7" i="13"/>
  <c r="F7" i="13"/>
  <c r="G7" i="13"/>
  <c r="H7" i="13"/>
  <c r="I7" i="13"/>
  <c r="C7" i="7"/>
  <c r="D7" i="7"/>
  <c r="E7" i="7"/>
  <c r="F7" i="7"/>
  <c r="G7" i="7"/>
  <c r="H7" i="7"/>
  <c r="I7" i="7"/>
  <c r="B7" i="8"/>
  <c r="B7" i="13"/>
  <c r="B7" i="7"/>
  <c r="C7" i="4"/>
  <c r="D7" i="4"/>
  <c r="E7" i="4"/>
  <c r="F7" i="4"/>
  <c r="G7" i="4"/>
  <c r="H7" i="4"/>
  <c r="I7" i="4"/>
  <c r="C7" i="6"/>
  <c r="D7" i="6"/>
  <c r="E7" i="6"/>
  <c r="F7" i="6"/>
  <c r="G7" i="6"/>
  <c r="H7" i="6"/>
  <c r="I7" i="6"/>
  <c r="C7" i="3"/>
  <c r="D7" i="3"/>
  <c r="E7" i="3"/>
  <c r="F7" i="3"/>
  <c r="G7" i="3"/>
  <c r="H7" i="3"/>
  <c r="I7" i="3"/>
  <c r="C7" i="12"/>
  <c r="D7" i="12"/>
  <c r="E7" i="12"/>
  <c r="F7" i="12"/>
  <c r="G7" i="12"/>
  <c r="H7" i="12"/>
  <c r="I7" i="12"/>
  <c r="C7" i="11"/>
  <c r="D7" i="11"/>
  <c r="E7" i="11"/>
  <c r="F7" i="11"/>
  <c r="G7" i="11"/>
  <c r="H7" i="11"/>
  <c r="I7" i="11"/>
  <c r="B7" i="4"/>
  <c r="B7" i="6"/>
  <c r="B7" i="3"/>
  <c r="B7" i="12"/>
  <c r="B7" i="11"/>
  <c r="C7" i="5"/>
  <c r="D7" i="5"/>
  <c r="E7" i="5"/>
  <c r="F7" i="5"/>
  <c r="G7" i="5"/>
  <c r="H7" i="5"/>
  <c r="I7" i="5"/>
  <c r="B7" i="5"/>
  <c r="C12" i="1"/>
  <c r="C11" i="1"/>
  <c r="C10" i="1"/>
  <c r="C9" i="1"/>
  <c r="C8" i="1"/>
  <c r="C7" i="1"/>
  <c r="C6" i="1"/>
  <c r="C5" i="1"/>
  <c r="C4" i="1"/>
  <c r="C3" i="1"/>
  <c r="C2" i="1"/>
  <c r="C1" i="1"/>
  <c r="B1" i="1"/>
  <c r="B12" i="1"/>
  <c r="B11" i="1"/>
  <c r="B10" i="1"/>
  <c r="B9" i="1"/>
  <c r="B8" i="1"/>
  <c r="B7" i="1"/>
  <c r="B6" i="1"/>
  <c r="B5" i="1"/>
  <c r="B4" i="1"/>
  <c r="B3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23FEFF-7691-45AC-87CB-D3624A92D4D3}" keepAlive="1" name="查询 - whisepr_single12_log_predict_auto(no)_(1)_" description="与工作簿中“whisepr_single12_log_predict_auto(no)_(1)_”查询的连接。" type="5" refreshedVersion="0" background="1">
    <dbPr connection="Provider=Microsoft.Mashup.OleDb.1;Data Source=$Workbook$;Location=whisepr_single12_log_predict_auto(no)_(1)_;Extended Properties=&quot;&quot;" command="SELECT * FROM [whisepr_single12_log_predict_auto(no)_(1)_]"/>
  </connection>
  <connection id="2" xr16:uid="{B7414575-694E-4131-99C9-33B7FB51AA36}" keepAlive="1" name="查询 - whisper_log_last1_auto(1)_(1)" description="与工作簿中“whisper_log_last1_auto(1)_(1)”查询的连接。" type="5" refreshedVersion="0" background="1">
    <dbPr connection="Provider=Microsoft.Mashup.OleDb.1;Data Source=$Workbook$;Location=whisper_log_last1_auto(1)_(1);Extended Properties=&quot;&quot;" command="SELECT * FROM [whisper_log_last1_auto(1)_(1)]"/>
  </connection>
  <connection id="3" xr16:uid="{36BDE34D-3964-4F80-83EB-CFF407657DA3}" keepAlive="1" name="查询 - whisper_log_last1_auto(no)_ (2)" description="与工作簿中“whisper_log_last1_auto(no)_ (2)”查询的连接。" type="5" refreshedVersion="8" background="1" saveData="1">
    <dbPr connection="Provider=Microsoft.Mashup.OleDb.1;Data Source=$Workbook$;Location=&quot;whisper_log_last1_auto(no)_ (2)&quot;;Extended Properties=&quot;&quot;" command="SELECT * FROM [whisper_log_last1_auto(no)_ (2)]"/>
  </connection>
  <connection id="4" xr16:uid="{A693B9D6-7B6C-4C6E-B8E7-3F0564D31804}" keepAlive="1" name="查询 - whisper_log_last1_auto(no)_(1)" description="与工作簿中“whisper_log_last1_auto(no)_(1)”查询的连接。" type="5" refreshedVersion="0" background="1">
    <dbPr connection="Provider=Microsoft.Mashup.OleDb.1;Data Source=$Workbook$;Location=whisper_log_last1_auto(no)_(1);Extended Properties=&quot;&quot;" command="SELECT * FROM [whisper_log_last1_auto(no)_(1)]"/>
  </connection>
  <connection id="5" xr16:uid="{BAA862E8-9F4E-40A0-B2C0-1AEC0927B424}" keepAlive="1" name="查询 - whisper_log_last10_auto(no)_(1)" description="与工作簿中“whisper_log_last10_auto(no)_(1)”查询的连接。" type="5" refreshedVersion="8" background="1" saveData="1">
    <dbPr connection="Provider=Microsoft.Mashup.OleDb.1;Data Source=$Workbook$;Location=whisper_log_last10_auto(no)_(1);Extended Properties=&quot;&quot;" command="SELECT * FROM [whisper_log_last10_auto(no)_(1)]"/>
  </connection>
  <connection id="6" xr16:uid="{4EA54B0A-6C9A-4E33-9A60-D1025B2067B7}" keepAlive="1" name="查询 - whisper_log_last11_auto(no)_(1)" description="与工作簿中“whisper_log_last11_auto(no)_(1)”查询的连接。" type="5" refreshedVersion="8" background="1" saveData="1">
    <dbPr connection="Provider=Microsoft.Mashup.OleDb.1;Data Source=$Workbook$;Location=whisper_log_last11_auto(no)_(1);Extended Properties=&quot;&quot;" command="SELECT * FROM [whisper_log_last11_auto(no)_(1)]"/>
  </connection>
  <connection id="7" xr16:uid="{49AA3004-9B72-4E4F-BCFD-32C0DD651040}" keepAlive="1" name="查询 - whisper_log_last12_auto(no)_ (2)" description="与工作簿中“whisper_log_last12_auto(no)_ (2)”查询的连接。" type="5" refreshedVersion="8" background="1" saveData="1">
    <dbPr connection="Provider=Microsoft.Mashup.OleDb.1;Data Source=$Workbook$;Location=&quot;whisper_log_last12_auto(no)_ (2)&quot;;Extended Properties=&quot;&quot;" command="SELECT * FROM [whisper_log_last12_auto(no)_ (2)]"/>
  </connection>
  <connection id="8" xr16:uid="{4DEDBCB4-B41C-437D-A5D5-8BEC33F93230}" keepAlive="1" name="查询 - whisper_log_last12_auto(no)_(1)" description="与工作簿中“whisper_log_last12_auto(no)_(1)”查询的连接。" type="5" refreshedVersion="0" background="1">
    <dbPr connection="Provider=Microsoft.Mashup.OleDb.1;Data Source=$Workbook$;Location=whisper_log_last12_auto(no)_(1);Extended Properties=&quot;&quot;" command="SELECT * FROM [whisper_log_last12_auto(no)_(1)]"/>
  </connection>
  <connection id="9" xr16:uid="{63D8DD29-BF2D-4D0C-91EF-06B22EB684A1}" keepAlive="1" name="查询 - whisper_log_last2_auto(no)_(1)" description="与工作簿中“whisper_log_last2_auto(no)_(1)”查询的连接。" type="5" refreshedVersion="8" background="1" saveData="1">
    <dbPr connection="Provider=Microsoft.Mashup.OleDb.1;Data Source=$Workbook$;Location=whisper_log_last2_auto(no)_(1);Extended Properties=&quot;&quot;" command="SELECT * FROM [whisper_log_last2_auto(no)_(1)]"/>
  </connection>
  <connection id="10" xr16:uid="{DA9FE075-40D7-41CD-AA8F-D429E994A4F5}" keepAlive="1" name="查询 - whisper_log_last3_auto(no)_(1)" description="与工作簿中“whisper_log_last3_auto(no)_(1)”查询的连接。" type="5" refreshedVersion="8" background="1" saveData="1">
    <dbPr connection="Provider=Microsoft.Mashup.OleDb.1;Data Source=$Workbook$;Location=whisper_log_last3_auto(no)_(1);Extended Properties=&quot;&quot;" command="SELECT * FROM [whisper_log_last3_auto(no)_(1)]"/>
  </connection>
  <connection id="11" xr16:uid="{D146E693-6641-4AA2-BA41-32123D3596CA}" keepAlive="1" name="查询 - whisper_log_last4_auto(no)_(1)" description="与工作簿中“whisper_log_last4_auto(no)_(1)”查询的连接。" type="5" refreshedVersion="8" background="1" saveData="1">
    <dbPr connection="Provider=Microsoft.Mashup.OleDb.1;Data Source=$Workbook$;Location=whisper_log_last4_auto(no)_(1);Extended Properties=&quot;&quot;" command="SELECT * FROM [whisper_log_last4_auto(no)_(1)]"/>
  </connection>
  <connection id="12" xr16:uid="{B4B1F149-69DF-40CD-9604-D503BB985739}" keepAlive="1" name="查询 - whisper_log_last5_auto(no)_ (2)" description="与工作簿中“whisper_log_last5_auto(no)_ (2)”查询的连接。" type="5" refreshedVersion="8" background="1" saveData="1">
    <dbPr connection="Provider=Microsoft.Mashup.OleDb.1;Data Source=$Workbook$;Location=&quot;whisper_log_last5_auto(no)_ (2)&quot;;Extended Properties=&quot;&quot;" command="SELECT * FROM [whisper_log_last5_auto(no)_ (2)]"/>
  </connection>
  <connection id="13" xr16:uid="{11F9F3EA-3AF8-4501-B813-0AA8EE022EE5}" keepAlive="1" name="查询 - whisper_log_last5_auto(no)_(1)" description="与工作簿中“whisper_log_last5_auto(no)_(1)”查询的连接。" type="5" refreshedVersion="0" background="1">
    <dbPr connection="Provider=Microsoft.Mashup.OleDb.1;Data Source=$Workbook$;Location=whisper_log_last5_auto(no)_(1);Extended Properties=&quot;&quot;" command="SELECT * FROM [whisper_log_last5_auto(no)_(1)]"/>
  </connection>
  <connection id="14" xr16:uid="{8B8B5E78-6B78-4452-91F4-89051178706F}" keepAlive="1" name="查询 - whisper_log_last6_auto(no)_(1)" description="与工作簿中“whisper_log_last6_auto(no)_(1)”查询的连接。" type="5" refreshedVersion="8" background="1" saveData="1">
    <dbPr connection="Provider=Microsoft.Mashup.OleDb.1;Data Source=$Workbook$;Location=whisper_log_last6_auto(no)_(1);Extended Properties=&quot;&quot;" command="SELECT * FROM [whisper_log_last6_auto(no)_(1)]"/>
  </connection>
  <connection id="15" xr16:uid="{3BC56E6B-76AA-46EB-BF98-1219C58268A4}" keepAlive="1" name="查询 - whisper_log_last7_auto(no)_(1)" description="与工作簿中“whisper_log_last7_auto(no)_(1)”查询的连接。" type="5" refreshedVersion="8" background="1" saveData="1">
    <dbPr connection="Provider=Microsoft.Mashup.OleDb.1;Data Source=$Workbook$;Location=whisper_log_last7_auto(no)_(1);Extended Properties=&quot;&quot;" command="SELECT * FROM [whisper_log_last7_auto(no)_(1)]"/>
  </connection>
  <connection id="16" xr16:uid="{3931EDC2-17D7-457C-B05A-533B83A04B12}" keepAlive="1" name="查询 - whisper_log_last8_auto(no)_(1)" description="与工作簿中“whisper_log_last8_auto(no)_(1)”查询的连接。" type="5" refreshedVersion="8" background="1" saveData="1">
    <dbPr connection="Provider=Microsoft.Mashup.OleDb.1;Data Source=$Workbook$;Location=whisper_log_last8_auto(no)_(1);Extended Properties=&quot;&quot;" command="SELECT * FROM [whisper_log_last8_auto(no)_(1)]"/>
  </connection>
  <connection id="17" xr16:uid="{3ED8C591-B4A8-48BD-B220-AE60C18E28A1}" keepAlive="1" name="查询 - whisper_log_last9_auto(no)_(1)" description="与工作簿中“whisper_log_last9_auto(no)_(1)”查询的连接。" type="5" refreshedVersion="8" background="1" saveData="1">
    <dbPr connection="Provider=Microsoft.Mashup.OleDb.1;Data Source=$Workbook$;Location=whisper_log_last9_auto(no)_(1);Extended Properties=&quot;&quot;" command="SELECT * FROM [whisper_log_last9_auto(no)_(1)]"/>
  </connection>
  <connection id="18" xr16:uid="{CFF58B52-4F94-4922-8034-11AAFAE2236B}" keepAlive="1" name="查询 - whisper_single12_log_auto(no)_ (2)" description="与工作簿中“whisper_single12_log_auto(no)_ (2)”查询的连接。" type="5" refreshedVersion="0" background="1">
    <dbPr connection="Provider=Microsoft.Mashup.OleDb.1;Data Source=$Workbook$;Location=&quot;whisper_single12_log_auto(no)_ (2)&quot;;Extended Properties=&quot;&quot;" command="SELECT * FROM [whisper_single12_log_auto(no)_ (2)]"/>
  </connection>
  <connection id="19" xr16:uid="{C99E6D1F-E5B4-4D93-A3B1-7567FC0A3D4B}" keepAlive="1" name="查询 - whisper_single12_log_auto(no)_(1)" description="与工作簿中“whisper_single12_log_auto(no)_(1)”查询的连接。" type="5" refreshedVersion="0" background="1">
    <dbPr connection="Provider=Microsoft.Mashup.OleDb.1;Data Source=$Workbook$;Location=whisper_single12_log_auto(no)_(1);Extended Properties=&quot;&quot;" command="SELECT * FROM [whisper_single12_log_auto(no)_(1)]"/>
  </connection>
</connections>
</file>

<file path=xl/sharedStrings.xml><?xml version="1.0" encoding="utf-8"?>
<sst xmlns="http://schemas.openxmlformats.org/spreadsheetml/2006/main" count="108" uniqueCount="9">
  <si>
    <t>seed</t>
  </si>
  <si>
    <t>acc_test</t>
  </si>
  <si>
    <t>f1</t>
  </si>
  <si>
    <t>precision</t>
  </si>
  <si>
    <t>recall</t>
  </si>
  <si>
    <t>acc_test_vote</t>
  </si>
  <si>
    <t>f1_vote</t>
  </si>
  <si>
    <t>precision_vote</t>
  </si>
  <si>
    <t>recall_vote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</si>
</sst>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Sheet1!$B$1:$B$12</c:f>
              <c:numCache>
                <c:formatCode>General</c:formatCode>
                <c:ptCount val="12"/>
                <c:pt idx="0">
                  <c:v>0.72083333333333344</c:v>
                </c:pt>
                <c:pt idx="1">
                  <c:v>0.7583333333333333</c:v>
                </c:pt>
                <c:pt idx="2">
                  <c:v>0.79166666666666663</c:v>
                </c:pt>
                <c:pt idx="3">
                  <c:v>0.79583333333333339</c:v>
                </c:pt>
                <c:pt idx="4">
                  <c:v>0.78750000000000009</c:v>
                </c:pt>
                <c:pt idx="5">
                  <c:v>0.82499999999999996</c:v>
                </c:pt>
                <c:pt idx="6">
                  <c:v>0.80416666666666659</c:v>
                </c:pt>
                <c:pt idx="7">
                  <c:v>0.79583333333333339</c:v>
                </c:pt>
                <c:pt idx="8">
                  <c:v>0.76249999999999996</c:v>
                </c:pt>
                <c:pt idx="9">
                  <c:v>0.79166666666666663</c:v>
                </c:pt>
                <c:pt idx="10">
                  <c:v>0.88333333333333341</c:v>
                </c:pt>
                <c:pt idx="11">
                  <c:v>0.86250000000000004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36-4DFA-8EC4-55E110203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4286480"/>
        <c:axId val="1884286000"/>
      </c:lineChart>
      <c:catAx>
        <c:axId val="188428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4286000"/>
        <c:crosses val="autoZero"/>
        <c:auto val="1"/>
        <c:lblAlgn val="ctr"/>
        <c:lblOffset val="100"/>
        <c:noMultiLvlLbl val="0"/>
      </c:catAx>
      <c:valAx>
        <c:axId val="1884286000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428648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5</xdr:row>
      <xdr:rowOff>136525</xdr:rowOff>
    </xdr:from>
    <xdr:to>
      <xdr:col>10</xdr:col>
      <xdr:colOff>301625</xdr:colOff>
      <xdr:row>21</xdr:row>
      <xdr:rowOff>34925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DA10E35-8467-6E35-435C-056CFC870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F7B45920-D32E-400A-8ACE-34B334FCCFAD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97619464-8002-40DB-90A7-BB5B2949EB19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6" xr16:uid="{74C973DC-E55D-492F-920B-DB669CDEB48F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75885ED-E225-4968-8CEF-68563A409075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3" xr16:uid="{9BBD695E-FDB5-4147-B2DE-B0BC2A9FD996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" xr16:uid="{F96AC842-C610-458A-BDA9-BF9DC6415ACA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1C06487A-3AE1-4952-ADA1-CB91EDA5CA40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327BDC93-6473-4142-97F9-DC9B765BD129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0E30FBFF-D5E8-43FE-8EA5-FAC645FCA66B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68780529-EB71-4C63-BA2E-DCF698A6C9A5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BAD092F4-11DF-43A6-8F01-303B640A361C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0543DE6F-839B-4353-BC80-498F1DF48DEB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E2363F-C38B-4546-A076-7D87D2C4D62B}" name="whisper_log_last7_auto_no___1" displayName="whisper_log_last7_auto_no___1" ref="A1:I6" tableType="queryTable" totalsRowShown="0">
  <autoFilter ref="A1:I6" xr:uid="{0CE2363F-C38B-4546-A076-7D87D2C4D62B}"/>
  <tableColumns count="9">
    <tableColumn id="1" xr3:uid="{C00C720C-2F62-4666-8AFD-7051D88326C1}" uniqueName="1" name="seed" queryTableFieldId="1"/>
    <tableColumn id="2" xr3:uid="{37702C1C-CDEF-4F94-8704-B7F9F29BA334}" uniqueName="2" name="acc_test" queryTableFieldId="2"/>
    <tableColumn id="3" xr3:uid="{15D5D9B7-D1EC-4DFB-BBEF-F1C5995753AA}" uniqueName="3" name="f1" queryTableFieldId="3"/>
    <tableColumn id="4" xr3:uid="{B1F4E950-7509-467E-BB6F-194D8EC81C33}" uniqueName="4" name="precision" queryTableFieldId="4"/>
    <tableColumn id="5" xr3:uid="{CD26D31B-7006-4BD7-924D-FE38E1DBE038}" uniqueName="5" name="recall" queryTableFieldId="5"/>
    <tableColumn id="6" xr3:uid="{45556B8A-12DE-411E-895F-94C823A228C0}" uniqueName="6" name="acc_test_vote" queryTableFieldId="6"/>
    <tableColumn id="7" xr3:uid="{BDAABB15-2B97-4FC9-8922-5D6BED5A86D6}" uniqueName="7" name="f1_vote" queryTableFieldId="7"/>
    <tableColumn id="8" xr3:uid="{4389493B-AFD6-439F-B010-329A9CBDB2DE}" uniqueName="8" name="precision_vote" queryTableFieldId="8"/>
    <tableColumn id="9" xr3:uid="{7487656C-7F8B-4D6F-A8C6-478F5B3AAB0E}" uniqueName="9" name="recall_vot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EBF97C-3A3B-4D6F-A4EF-8B13FDFCE376}" name="whisper_log_last10_auto_no___1" displayName="whisper_log_last10_auto_no___1" ref="A1:I6" tableType="queryTable" totalsRowShown="0">
  <autoFilter ref="A1:I6" xr:uid="{97EBF97C-3A3B-4D6F-A4EF-8B13FDFCE376}"/>
  <tableColumns count="9">
    <tableColumn id="1" xr3:uid="{D8E60559-E1A9-456F-8C34-42C69ED27136}" uniqueName="1" name="seed" queryTableFieldId="1"/>
    <tableColumn id="2" xr3:uid="{25246BD4-B533-4943-95AE-41BE3E7FCF0B}" uniqueName="2" name="acc_test" queryTableFieldId="2"/>
    <tableColumn id="3" xr3:uid="{FBDC866B-DFFE-41D1-A36E-66FFF9C797BD}" uniqueName="3" name="f1" queryTableFieldId="3"/>
    <tableColumn id="4" xr3:uid="{CE0A1D7E-EEF2-45A7-A901-5964E230E7D4}" uniqueName="4" name="precision" queryTableFieldId="4"/>
    <tableColumn id="5" xr3:uid="{34185C45-E6D2-46CA-B97C-9F93F407988C}" uniqueName="5" name="recall" queryTableFieldId="5"/>
    <tableColumn id="6" xr3:uid="{3802CE78-77AE-4C08-87E6-144E7AC89C01}" uniqueName="6" name="acc_test_vote" queryTableFieldId="6"/>
    <tableColumn id="7" xr3:uid="{4CD68F33-7057-40C9-984C-15CC6D897883}" uniqueName="7" name="f1_vote" queryTableFieldId="7"/>
    <tableColumn id="8" xr3:uid="{0E5781E8-DDD7-4FF3-AA73-B006F00C7BE3}" uniqueName="8" name="precision_vote" queryTableFieldId="8"/>
    <tableColumn id="9" xr3:uid="{E522947F-6F7B-4D7C-A1E1-2BEE4E81847B}" uniqueName="9" name="recall_vot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CC7B97-FEE0-4193-BA00-713BC4D29551}" name="whisper_log_last8_auto_no___1" displayName="whisper_log_last8_auto_no___1" ref="A1:I6" tableType="queryTable" totalsRowShown="0">
  <autoFilter ref="A1:I6" xr:uid="{94CC7B97-FEE0-4193-BA00-713BC4D29551}"/>
  <tableColumns count="9">
    <tableColumn id="1" xr3:uid="{FEA96084-EBF4-429C-9DB1-F9A7D45DF9A5}" uniqueName="1" name="seed" queryTableFieldId="1"/>
    <tableColumn id="2" xr3:uid="{56E7B75D-604B-48FA-BFCF-852FF5A4084B}" uniqueName="2" name="acc_test" queryTableFieldId="2"/>
    <tableColumn id="3" xr3:uid="{A8B76526-550B-40DB-A6FB-46CF6317C0F8}" uniqueName="3" name="f1" queryTableFieldId="3"/>
    <tableColumn id="4" xr3:uid="{0F71AB8C-7CE4-4851-95B0-90C3E0C62F31}" uniqueName="4" name="precision" queryTableFieldId="4"/>
    <tableColumn id="5" xr3:uid="{8085181A-207D-4175-AEC6-B90DF6D1EE2E}" uniqueName="5" name="recall" queryTableFieldId="5"/>
    <tableColumn id="6" xr3:uid="{1144AD24-DA29-4365-BA4E-BEE044B65499}" uniqueName="6" name="acc_test_vote" queryTableFieldId="6"/>
    <tableColumn id="7" xr3:uid="{25E78D91-5923-4A16-8AD0-626E2E4506B8}" uniqueName="7" name="f1_vote" queryTableFieldId="7"/>
    <tableColumn id="8" xr3:uid="{A975B14F-2668-47D5-A720-F3F22EBDFEB2}" uniqueName="8" name="precision_vote" queryTableFieldId="8"/>
    <tableColumn id="9" xr3:uid="{8435F3FC-E64B-486B-80B1-7E83A45BA67B}" uniqueName="9" name="recall_vot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3A82BC-6A44-4BED-9806-9C17B5E6DB32}" name="whisper_log_last11_auto_no___1" displayName="whisper_log_last11_auto_no___1" ref="A1:I6" tableType="queryTable" totalsRowShown="0">
  <autoFilter ref="A1:I6" xr:uid="{3E3A82BC-6A44-4BED-9806-9C17B5E6DB32}"/>
  <tableColumns count="9">
    <tableColumn id="1" xr3:uid="{18302C2C-E2EB-46D8-A431-B316650EE7DB}" uniqueName="1" name="seed" queryTableFieldId="1"/>
    <tableColumn id="2" xr3:uid="{F6B37DB2-72C3-424D-B13A-6AB3858731CF}" uniqueName="2" name="acc_test" queryTableFieldId="2"/>
    <tableColumn id="3" xr3:uid="{4F34C222-546F-47FB-BF2A-A2900B4EC392}" uniqueName="3" name="f1" queryTableFieldId="3"/>
    <tableColumn id="4" xr3:uid="{C014C781-F68A-42E5-B21D-55091EEBC806}" uniqueName="4" name="precision" queryTableFieldId="4"/>
    <tableColumn id="5" xr3:uid="{C2C09AE2-483A-43C2-A263-4EA92FF371DF}" uniqueName="5" name="recall" queryTableFieldId="5"/>
    <tableColumn id="6" xr3:uid="{A0ADF02D-EF8E-41AF-9521-63B3272C0EA9}" uniqueName="6" name="acc_test_vote" queryTableFieldId="6"/>
    <tableColumn id="7" xr3:uid="{9D3F30F6-60F3-429D-8AEF-DA8AA9C3C924}" uniqueName="7" name="f1_vote" queryTableFieldId="7"/>
    <tableColumn id="8" xr3:uid="{7266661F-0004-49D3-9286-FD40873F3435}" uniqueName="8" name="precision_vote" queryTableFieldId="8"/>
    <tableColumn id="9" xr3:uid="{86EEFC5A-63CF-4A80-BF17-C5276DA1151C}" uniqueName="9" name="recall_vote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EE5AA94-DACA-40D5-899E-EF15AB950988}" name="whisper_log_last1_auto_no____2" displayName="whisper_log_last1_auto_no____2" ref="A1:I7" tableType="queryTable" totalsRowCount="1">
  <autoFilter ref="A1:I6" xr:uid="{CEE5AA94-DACA-40D5-899E-EF15AB950988}"/>
  <tableColumns count="9">
    <tableColumn id="1" xr3:uid="{97C76F04-9FE3-4089-B0F0-C24ECA5D5896}" uniqueName="1" name="seed" queryTableFieldId="1"/>
    <tableColumn id="2" xr3:uid="{FAA142A6-72ED-4ED8-9394-FB5968CA5A91}" uniqueName="2" name="acc_test" totalsRowFunction="average" queryTableFieldId="2"/>
    <tableColumn id="3" xr3:uid="{B94D4C54-E4A4-418A-BB0A-432CE58BD6A7}" uniqueName="3" name="f1" totalsRowFunction="average" queryTableFieldId="3"/>
    <tableColumn id="4" xr3:uid="{2579EE4B-1FD8-4B89-93E3-12348BBB8721}" uniqueName="4" name="precision" totalsRowFunction="average" queryTableFieldId="4"/>
    <tableColumn id="5" xr3:uid="{80E4E3DC-6661-4966-BFA1-67DFF12A5C96}" uniqueName="5" name="recall" totalsRowFunction="average" queryTableFieldId="5"/>
    <tableColumn id="6" xr3:uid="{0AE50967-179F-4EFC-994E-B1E0F09F400E}" uniqueName="6" name="acc_test_vote" totalsRowFunction="average" queryTableFieldId="6"/>
    <tableColumn id="7" xr3:uid="{E5C14956-384E-4D71-B960-A22CD2C769A8}" uniqueName="7" name="f1_vote" totalsRowFunction="average" queryTableFieldId="7"/>
    <tableColumn id="8" xr3:uid="{DEC4E721-6B9E-45AE-B805-45C271D32899}" uniqueName="8" name="precision_vote" totalsRowFunction="average" queryTableFieldId="8"/>
    <tableColumn id="9" xr3:uid="{4AFA11E0-53BA-4288-9ABA-78E2ED64F8BC}" uniqueName="9" name="recall_vote" totalsRowFunction="average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F33F3EB-74D5-4B10-9B6F-D55A77B5419C}" name="whisper_log_last12_auto_no____2" displayName="whisper_log_last12_auto_no____2" ref="A1:I6" tableType="queryTable" totalsRowShown="0">
  <autoFilter ref="A1:I6" xr:uid="{6F33F3EB-74D5-4B10-9B6F-D55A77B5419C}"/>
  <tableColumns count="9">
    <tableColumn id="1" xr3:uid="{BECD1A26-D510-4872-A50E-095D8D4AF0E8}" uniqueName="1" name="seed" queryTableFieldId="1"/>
    <tableColumn id="2" xr3:uid="{B7FC0390-DA58-41D5-8741-15FB2185FCE0}" uniqueName="2" name="acc_test" queryTableFieldId="2"/>
    <tableColumn id="3" xr3:uid="{19458707-06E5-4BCF-9A00-DC031A95D647}" uniqueName="3" name="f1" queryTableFieldId="3"/>
    <tableColumn id="4" xr3:uid="{9548F5B5-D042-4513-B154-7F75941F1ED3}" uniqueName="4" name="precision" queryTableFieldId="4"/>
    <tableColumn id="5" xr3:uid="{90FFE7AE-03CA-46D1-AAB1-09E429D70CEB}" uniqueName="5" name="recall" queryTableFieldId="5"/>
    <tableColumn id="6" xr3:uid="{ACB4F417-2D25-421E-9BE5-30E4373F1F85}" uniqueName="6" name="acc_test_vote" queryTableFieldId="6"/>
    <tableColumn id="7" xr3:uid="{C69C3CD9-FF76-41D2-B0B2-5558EB752107}" uniqueName="7" name="f1_vote" queryTableFieldId="7"/>
    <tableColumn id="8" xr3:uid="{76531E93-ADC5-4E47-9B47-B3B2F79462AB}" uniqueName="8" name="precision_vote" queryTableFieldId="8"/>
    <tableColumn id="9" xr3:uid="{6542B47D-A93C-4784-9023-F319EB988EAD}" uniqueName="9" name="recall_vote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C525C2E-CCCA-4C80-B604-6E2C429AD86A}" name="whisper_log_last3_auto_no___1" displayName="whisper_log_last3_auto_no___1" ref="A1:I6" tableType="queryTable" totalsRowShown="0">
  <autoFilter ref="A1:I6" xr:uid="{6C525C2E-CCCA-4C80-B604-6E2C429AD86A}"/>
  <tableColumns count="9">
    <tableColumn id="1" xr3:uid="{4EF8BC43-E194-4C3C-B2AD-1AFEAC79B897}" uniqueName="1" name="seed" queryTableFieldId="1"/>
    <tableColumn id="2" xr3:uid="{BC99E37B-114E-48B8-B207-38C0775DC34D}" uniqueName="2" name="acc_test" queryTableFieldId="2"/>
    <tableColumn id="3" xr3:uid="{61AD546D-B1D8-4A59-8858-59C62AB4F971}" uniqueName="3" name="f1" queryTableFieldId="3"/>
    <tableColumn id="4" xr3:uid="{071EF24F-2005-460A-B6F0-B5D45EE9E8E9}" uniqueName="4" name="precision" queryTableFieldId="4"/>
    <tableColumn id="5" xr3:uid="{4688C3CD-30BF-4B27-AD10-1DCEB62E9F00}" uniqueName="5" name="recall" queryTableFieldId="5"/>
    <tableColumn id="6" xr3:uid="{92048F56-E045-469A-8492-25A8B946C4CF}" uniqueName="6" name="acc_test_vote" queryTableFieldId="6"/>
    <tableColumn id="7" xr3:uid="{8FFD7FDD-9411-4742-8E0D-497115EA08E4}" uniqueName="7" name="f1_vote" queryTableFieldId="7"/>
    <tableColumn id="8" xr3:uid="{CB37CAB2-044A-4114-A8CE-6FAF873ABBC9}" uniqueName="8" name="precision_vote" queryTableFieldId="8"/>
    <tableColumn id="9" xr3:uid="{D222DF76-9186-441E-A966-277E022D04A8}" uniqueName="9" name="recall_vote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A879D9-B7E7-48FC-AA5A-6D30345404B1}" name="whisper_log_last2_auto_no___1" displayName="whisper_log_last2_auto_no___1" ref="A1:I6" tableType="queryTable" totalsRowShown="0">
  <autoFilter ref="A1:I6" xr:uid="{CBA879D9-B7E7-48FC-AA5A-6D30345404B1}"/>
  <tableColumns count="9">
    <tableColumn id="1" xr3:uid="{66106F70-656F-43F4-A51A-DCDF4441138F}" uniqueName="1" name="seed" queryTableFieldId="1"/>
    <tableColumn id="2" xr3:uid="{C62D3EE0-5F52-444E-97B3-2E2424F8FF15}" uniqueName="2" name="acc_test" queryTableFieldId="2"/>
    <tableColumn id="3" xr3:uid="{257ED309-5A1C-435A-86F5-F1C9FA42F8C2}" uniqueName="3" name="f1" queryTableFieldId="3"/>
    <tableColumn id="4" xr3:uid="{5C409BF0-CBF0-4356-BB7E-145C512CCAFB}" uniqueName="4" name="precision" queryTableFieldId="4"/>
    <tableColumn id="5" xr3:uid="{A49BD42A-6F78-4601-BBF0-1C2E8DC0D35C}" uniqueName="5" name="recall" queryTableFieldId="5"/>
    <tableColumn id="6" xr3:uid="{797B5D08-F18F-4857-9640-D334656D8BDB}" uniqueName="6" name="acc_test_vote" queryTableFieldId="6"/>
    <tableColumn id="7" xr3:uid="{A532E29D-405F-4070-9D9D-0495099FF781}" uniqueName="7" name="f1_vote" queryTableFieldId="7"/>
    <tableColumn id="8" xr3:uid="{4A607250-8D87-46EF-B949-AF3034F72A3B}" uniqueName="8" name="precision_vote" queryTableFieldId="8"/>
    <tableColumn id="9" xr3:uid="{29C97845-E179-450C-B2A5-15888A4CB5E6}" uniqueName="9" name="recall_vote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007611E-3B00-42A9-98F2-7D3B98459ACD}" name="whisper_log_last5_auto_no____2" displayName="whisper_log_last5_auto_no____2" ref="A1:I7" tableType="queryTable" totalsRowCount="1">
  <autoFilter ref="A1:I6" xr:uid="{F007611E-3B00-42A9-98F2-7D3B98459ACD}"/>
  <tableColumns count="9">
    <tableColumn id="1" xr3:uid="{EBED6EB6-DE81-424E-9726-213573BD7DAA}" uniqueName="1" name="seed" queryTableFieldId="1"/>
    <tableColumn id="2" xr3:uid="{0276182C-0CE3-4077-8EE0-0858450789CF}" uniqueName="2" name="acc_test" totalsRowFunction="average" queryTableFieldId="2"/>
    <tableColumn id="3" xr3:uid="{73F6E624-DC08-4B1A-A357-AAFC5721A3B4}" uniqueName="3" name="f1" totalsRowFunction="average" queryTableFieldId="3"/>
    <tableColumn id="4" xr3:uid="{73E1E301-C092-4253-8BE1-5D268E29F6BA}" uniqueName="4" name="precision" totalsRowFunction="average" queryTableFieldId="4"/>
    <tableColumn id="5" xr3:uid="{CDE9ACD6-8906-4721-AE38-400FF0794EB0}" uniqueName="5" name="recall" totalsRowFunction="average" queryTableFieldId="5"/>
    <tableColumn id="6" xr3:uid="{5201405D-9DDF-4D56-9054-57E7C27BF6FF}" uniqueName="6" name="acc_test_vote" totalsRowFunction="average" queryTableFieldId="6"/>
    <tableColumn id="7" xr3:uid="{A06CDDE7-E191-4422-AA7A-5C222D941B1C}" uniqueName="7" name="f1_vote" totalsRowFunction="average" queryTableFieldId="7"/>
    <tableColumn id="8" xr3:uid="{A1A3EB71-BA08-47F0-8744-1F70D08388A3}" uniqueName="8" name="precision_vote" totalsRowFunction="average" queryTableFieldId="8"/>
    <tableColumn id="9" xr3:uid="{FC1312A8-E5B9-4F1B-BC40-C5D62143D6A5}" uniqueName="9" name="recall_vote" totalsRowFunction="average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DD3A14-997C-49E2-89DA-CCD1BAD17428}" name="whisper_log_last6_auto_no___1" displayName="whisper_log_last6_auto_no___1" ref="A1:I6" tableType="queryTable" totalsRowShown="0">
  <autoFilter ref="A1:I6" xr:uid="{A6DD3A14-997C-49E2-89DA-CCD1BAD17428}"/>
  <tableColumns count="9">
    <tableColumn id="1" xr3:uid="{96855F9B-F00F-4C4A-8F65-6BC029E932E9}" uniqueName="1" name="seed" queryTableFieldId="1"/>
    <tableColumn id="2" xr3:uid="{C6812BCE-010E-40BF-998C-D469A1DE4779}" uniqueName="2" name="acc_test" queryTableFieldId="2"/>
    <tableColumn id="3" xr3:uid="{4B13468E-43F2-4B99-B20B-E598984819E0}" uniqueName="3" name="f1" queryTableFieldId="3"/>
    <tableColumn id="4" xr3:uid="{DA11CE9A-7954-472B-A9F9-2D58F251EC81}" uniqueName="4" name="precision" queryTableFieldId="4"/>
    <tableColumn id="5" xr3:uid="{B13C94AC-288E-4715-A625-2991BFE04B23}" uniqueName="5" name="recall" queryTableFieldId="5"/>
    <tableColumn id="6" xr3:uid="{9C86690F-C586-4DB8-8758-963CB1939102}" uniqueName="6" name="acc_test_vote" queryTableFieldId="6"/>
    <tableColumn id="7" xr3:uid="{BD9F4844-6D49-436B-B1BE-846C9BE52962}" uniqueName="7" name="f1_vote" queryTableFieldId="7"/>
    <tableColumn id="8" xr3:uid="{7E0A4315-9779-48C0-8A69-5E95AC3EC11D}" uniqueName="8" name="precision_vote" queryTableFieldId="8"/>
    <tableColumn id="9" xr3:uid="{0DF20C5A-93EB-4972-9B33-EF5AB68C8E0B}" uniqueName="9" name="recall_vote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39B5701-079C-4379-B18C-F725F9B5334C}" name="whisper_log_last4_auto_no___1" displayName="whisper_log_last4_auto_no___1" ref="A1:I6" tableType="queryTable" totalsRowShown="0">
  <autoFilter ref="A1:I6" xr:uid="{D39B5701-079C-4379-B18C-F725F9B5334C}"/>
  <tableColumns count="9">
    <tableColumn id="1" xr3:uid="{66314F8D-0290-4F6E-8E04-9D37FACED933}" uniqueName="1" name="seed" queryTableFieldId="1"/>
    <tableColumn id="2" xr3:uid="{04E10FF5-B7A5-4D67-A125-BF97C8534C89}" uniqueName="2" name="acc_test" queryTableFieldId="2"/>
    <tableColumn id="3" xr3:uid="{02C02C31-8EE2-4F20-AF7A-454CDD36B035}" uniqueName="3" name="f1" queryTableFieldId="3"/>
    <tableColumn id="4" xr3:uid="{9A1AD66F-49AC-4CA9-8C3F-476178441566}" uniqueName="4" name="precision" queryTableFieldId="4"/>
    <tableColumn id="5" xr3:uid="{BFF1F347-03A6-4CA3-A6B3-F0A30BA90A82}" uniqueName="5" name="recall" queryTableFieldId="5"/>
    <tableColumn id="6" xr3:uid="{46DBA9E2-6E77-452E-B9B3-135645724B17}" uniqueName="6" name="acc_test_vote" queryTableFieldId="6"/>
    <tableColumn id="7" xr3:uid="{1AD16206-1FFC-47C2-A18B-1A1A87A81D64}" uniqueName="7" name="f1_vote" queryTableFieldId="7"/>
    <tableColumn id="8" xr3:uid="{63F3767F-A1D1-4D74-8F16-20953E7CD45F}" uniqueName="8" name="precision_vote" queryTableFieldId="8"/>
    <tableColumn id="9" xr3:uid="{96DB1584-70F1-4D8A-936F-941B5FE4530E}" uniqueName="9" name="recall_vote" queryTableFieldId="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7F9F86-D6D4-45E1-A2B5-63BA982472D7}" name="whisper_log_last9_auto_no___1" displayName="whisper_log_last9_auto_no___1" ref="A1:I6" tableType="queryTable" totalsRowShown="0">
  <autoFilter ref="A1:I6" xr:uid="{177F9F86-D6D4-45E1-A2B5-63BA982472D7}"/>
  <tableColumns count="9">
    <tableColumn id="1" xr3:uid="{FD066D5D-66E8-4F2A-B174-224E6FC0C99A}" uniqueName="1" name="seed" queryTableFieldId="1"/>
    <tableColumn id="2" xr3:uid="{D27116FC-F88E-47FE-828D-4692C0E75CA9}" uniqueName="2" name="acc_test" queryTableFieldId="2"/>
    <tableColumn id="3" xr3:uid="{38BF5BAD-0E20-4BAE-B796-F2E913BC05BB}" uniqueName="3" name="f1" queryTableFieldId="3"/>
    <tableColumn id="4" xr3:uid="{C25D3805-6830-43F3-999A-972BEAB369F6}" uniqueName="4" name="precision" queryTableFieldId="4"/>
    <tableColumn id="5" xr3:uid="{4817022A-ED6F-446D-92A5-0010010D440A}" uniqueName="5" name="recall" queryTableFieldId="5"/>
    <tableColumn id="6" xr3:uid="{F33670C9-55E7-474A-82D7-3D7866FFAF8B}" uniqueName="6" name="acc_test_vote" queryTableFieldId="6"/>
    <tableColumn id="7" xr3:uid="{BEDB1883-5131-4159-911F-9C125EE6AE1C}" uniqueName="7" name="f1_vote" queryTableFieldId="7"/>
    <tableColumn id="8" xr3:uid="{5F9466E5-2536-4395-9C2C-73FAA6B80877}" uniqueName="8" name="precision_vote" queryTableFieldId="8"/>
    <tableColumn id="9" xr3:uid="{FF214969-1131-40CB-A2BC-495BD5BD27EE}" uniqueName="9" name="recall_vot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FA66-9F9B-4FE8-89B0-02B5FFE26449}">
  <sheetPr codeName="Sheet1"/>
  <dimension ref="A1:I7"/>
  <sheetViews>
    <sheetView topLeftCell="F1"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0.77083333333333337</v>
      </c>
      <c r="C2">
        <v>0.78431372549019607</v>
      </c>
      <c r="D2">
        <v>0.7407407407407407</v>
      </c>
      <c r="E2">
        <v>0.83333333333333337</v>
      </c>
      <c r="F2">
        <v>0.83333333333333337</v>
      </c>
      <c r="G2">
        <v>0.83333333333333337</v>
      </c>
      <c r="H2">
        <v>0.83333333333333337</v>
      </c>
      <c r="I2">
        <v>0.83333333333333337</v>
      </c>
    </row>
    <row r="3" spans="1:9" x14ac:dyDescent="0.3">
      <c r="A3">
        <v>1002</v>
      </c>
      <c r="B3">
        <v>0.8125</v>
      </c>
      <c r="C3">
        <v>0.82352941176470584</v>
      </c>
      <c r="D3">
        <v>0.77777777777777779</v>
      </c>
      <c r="E3">
        <v>0.875</v>
      </c>
      <c r="F3">
        <v>0.85416666666666663</v>
      </c>
      <c r="G3">
        <v>0.85106382978723405</v>
      </c>
      <c r="H3">
        <v>0.86956521739130432</v>
      </c>
      <c r="I3">
        <v>0.83333333333333337</v>
      </c>
    </row>
    <row r="4" spans="1:9" x14ac:dyDescent="0.3">
      <c r="A4">
        <v>1003</v>
      </c>
      <c r="B4">
        <v>0.8125</v>
      </c>
      <c r="C4">
        <v>0.82352941176470584</v>
      </c>
      <c r="D4">
        <v>0.77777777777777779</v>
      </c>
      <c r="E4">
        <v>0.875</v>
      </c>
      <c r="F4">
        <v>0.83333333333333337</v>
      </c>
      <c r="G4">
        <v>0.83333333333333337</v>
      </c>
      <c r="H4">
        <v>0.83333333333333337</v>
      </c>
      <c r="I4">
        <v>0.83333333333333337</v>
      </c>
    </row>
    <row r="5" spans="1:9" x14ac:dyDescent="0.3">
      <c r="A5">
        <v>1004</v>
      </c>
      <c r="B5">
        <v>0.75</v>
      </c>
      <c r="C5">
        <v>0.76923076923076927</v>
      </c>
      <c r="D5">
        <v>0.7142857142857143</v>
      </c>
      <c r="E5">
        <v>0.83333333333333337</v>
      </c>
      <c r="F5">
        <v>0.8125</v>
      </c>
      <c r="G5">
        <v>0.80851063829787229</v>
      </c>
      <c r="H5">
        <v>0.82608695652173914</v>
      </c>
      <c r="I5">
        <v>0.79166666666666663</v>
      </c>
    </row>
    <row r="6" spans="1:9" x14ac:dyDescent="0.3">
      <c r="A6">
        <v>1005</v>
      </c>
      <c r="B6">
        <v>0.75</v>
      </c>
      <c r="C6">
        <v>0.76923076923076927</v>
      </c>
      <c r="D6">
        <v>0.7142857142857143</v>
      </c>
      <c r="E6">
        <v>0.83333333333333337</v>
      </c>
      <c r="F6">
        <v>0.79166666666666663</v>
      </c>
      <c r="G6">
        <v>0.8</v>
      </c>
      <c r="H6">
        <v>0.76923076923076927</v>
      </c>
      <c r="I6">
        <v>0.83333333333333337</v>
      </c>
    </row>
    <row r="7" spans="1:9" x14ac:dyDescent="0.3">
      <c r="B7">
        <f>AVERAGE(B2:B6)</f>
        <v>0.77916666666666667</v>
      </c>
      <c r="C7">
        <f t="shared" ref="C7:I7" si="0">AVERAGE(C2:C6)</f>
        <v>0.79396681749622933</v>
      </c>
      <c r="D7">
        <f t="shared" si="0"/>
        <v>0.74497354497354507</v>
      </c>
      <c r="E7">
        <f t="shared" si="0"/>
        <v>0.85</v>
      </c>
      <c r="F7">
        <f t="shared" si="0"/>
        <v>0.82499999999999996</v>
      </c>
      <c r="G7">
        <f t="shared" si="0"/>
        <v>0.82524822695035471</v>
      </c>
      <c r="H7">
        <f t="shared" si="0"/>
        <v>0.82630992196209596</v>
      </c>
      <c r="I7">
        <f t="shared" si="0"/>
        <v>0.82499999999999996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4888-9D7F-4D74-9F66-045EF01C8DAD}">
  <sheetPr codeName="Sheet2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0.70833333333333337</v>
      </c>
      <c r="C2">
        <v>0.73076923076923073</v>
      </c>
      <c r="D2">
        <v>0.6785714285714286</v>
      </c>
      <c r="E2">
        <v>0.79166666666666663</v>
      </c>
      <c r="F2">
        <v>0.79166666666666663</v>
      </c>
      <c r="G2">
        <v>0.79166666666666663</v>
      </c>
      <c r="H2">
        <v>0.79166666666666663</v>
      </c>
      <c r="I2">
        <v>0.79166666666666663</v>
      </c>
    </row>
    <row r="3" spans="1:9" x14ac:dyDescent="0.3">
      <c r="A3">
        <v>1002</v>
      </c>
      <c r="B3">
        <v>0.75</v>
      </c>
      <c r="C3">
        <v>0.76</v>
      </c>
      <c r="D3">
        <v>0.73076923076923073</v>
      </c>
      <c r="E3">
        <v>0.79166666666666663</v>
      </c>
      <c r="F3">
        <v>0.77083333333333337</v>
      </c>
      <c r="G3">
        <v>0.77551020408163263</v>
      </c>
      <c r="H3">
        <v>0.76</v>
      </c>
      <c r="I3">
        <v>0.79166666666666663</v>
      </c>
    </row>
    <row r="4" spans="1:9" x14ac:dyDescent="0.3">
      <c r="A4">
        <v>1003</v>
      </c>
      <c r="B4">
        <v>0.77083333333333337</v>
      </c>
      <c r="C4">
        <v>0.77551020408163263</v>
      </c>
      <c r="D4">
        <v>0.76</v>
      </c>
      <c r="E4">
        <v>0.79166666666666663</v>
      </c>
      <c r="F4">
        <v>0.79166666666666663</v>
      </c>
      <c r="G4">
        <v>0.79166666666666663</v>
      </c>
      <c r="H4">
        <v>0.79166666666666663</v>
      </c>
      <c r="I4">
        <v>0.79166666666666663</v>
      </c>
    </row>
    <row r="5" spans="1:9" x14ac:dyDescent="0.3">
      <c r="A5">
        <v>1004</v>
      </c>
      <c r="B5">
        <v>0.75</v>
      </c>
      <c r="C5">
        <v>0.76</v>
      </c>
      <c r="D5">
        <v>0.73076923076923073</v>
      </c>
      <c r="E5">
        <v>0.79166666666666663</v>
      </c>
      <c r="F5">
        <v>0.79166666666666663</v>
      </c>
      <c r="G5">
        <v>0.79166666666666663</v>
      </c>
      <c r="H5">
        <v>0.79166666666666663</v>
      </c>
      <c r="I5">
        <v>0.79166666666666663</v>
      </c>
    </row>
    <row r="6" spans="1:9" x14ac:dyDescent="0.3">
      <c r="A6">
        <v>1005</v>
      </c>
      <c r="B6">
        <v>0.77083333333333337</v>
      </c>
      <c r="C6">
        <v>0.78431372549019607</v>
      </c>
      <c r="D6">
        <v>0.7407407407407407</v>
      </c>
      <c r="E6">
        <v>0.83333333333333337</v>
      </c>
      <c r="F6">
        <v>0.8125</v>
      </c>
      <c r="G6">
        <v>0.81632653061224492</v>
      </c>
      <c r="H6">
        <v>0.8</v>
      </c>
      <c r="I6">
        <v>0.83333333333333337</v>
      </c>
    </row>
    <row r="7" spans="1:9" x14ac:dyDescent="0.3">
      <c r="B7">
        <f>AVERAGE(B2:B6)</f>
        <v>0.75000000000000011</v>
      </c>
      <c r="C7">
        <f t="shared" ref="C7:I7" si="0">AVERAGE(C2:C6)</f>
        <v>0.76211863206821184</v>
      </c>
      <c r="D7">
        <f t="shared" si="0"/>
        <v>0.72817012617012611</v>
      </c>
      <c r="E7">
        <f t="shared" si="0"/>
        <v>0.8</v>
      </c>
      <c r="F7">
        <f t="shared" si="0"/>
        <v>0.79166666666666663</v>
      </c>
      <c r="G7">
        <f t="shared" si="0"/>
        <v>0.79336734693877542</v>
      </c>
      <c r="H7">
        <f t="shared" si="0"/>
        <v>0.78699999999999992</v>
      </c>
      <c r="I7">
        <f t="shared" si="0"/>
        <v>0.8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8468-FA23-4DF4-A2EF-6C122CFBAAF0}">
  <sheetPr codeName="Sheet3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0.79166666666666663</v>
      </c>
      <c r="C2">
        <v>0.80769230769230771</v>
      </c>
      <c r="D2">
        <v>0.75</v>
      </c>
      <c r="E2">
        <v>0.875</v>
      </c>
      <c r="F2">
        <v>0.77083333333333337</v>
      </c>
      <c r="G2">
        <v>0.78431372549019607</v>
      </c>
      <c r="H2">
        <v>0.7407407407407407</v>
      </c>
      <c r="I2">
        <v>0.83333333333333337</v>
      </c>
    </row>
    <row r="3" spans="1:9" x14ac:dyDescent="0.3">
      <c r="A3">
        <v>1002</v>
      </c>
      <c r="B3">
        <v>0.75</v>
      </c>
      <c r="C3">
        <v>0.76</v>
      </c>
      <c r="D3">
        <v>0.73076923076923073</v>
      </c>
      <c r="E3">
        <v>0.79166666666666663</v>
      </c>
      <c r="F3">
        <v>0.77083333333333337</v>
      </c>
      <c r="G3">
        <v>0.77551020408163263</v>
      </c>
      <c r="H3">
        <v>0.76</v>
      </c>
      <c r="I3">
        <v>0.79166666666666663</v>
      </c>
    </row>
    <row r="4" spans="1:9" x14ac:dyDescent="0.3">
      <c r="A4">
        <v>1003</v>
      </c>
      <c r="B4">
        <v>0.79166666666666663</v>
      </c>
      <c r="C4">
        <v>0.8</v>
      </c>
      <c r="D4">
        <v>0.76923076923076927</v>
      </c>
      <c r="E4">
        <v>0.83333333333333337</v>
      </c>
      <c r="F4">
        <v>0.8125</v>
      </c>
      <c r="G4">
        <v>0.81632653061224492</v>
      </c>
      <c r="H4">
        <v>0.8</v>
      </c>
      <c r="I4">
        <v>0.83333333333333337</v>
      </c>
    </row>
    <row r="5" spans="1:9" x14ac:dyDescent="0.3">
      <c r="A5">
        <v>1004</v>
      </c>
      <c r="B5">
        <v>0.79166666666666663</v>
      </c>
      <c r="C5">
        <v>0.80769230769230771</v>
      </c>
      <c r="D5">
        <v>0.75</v>
      </c>
      <c r="E5">
        <v>0.875</v>
      </c>
      <c r="F5">
        <v>0.8125</v>
      </c>
      <c r="G5">
        <v>0.81632653061224492</v>
      </c>
      <c r="H5">
        <v>0.8</v>
      </c>
      <c r="I5">
        <v>0.83333333333333337</v>
      </c>
    </row>
    <row r="6" spans="1:9" x14ac:dyDescent="0.3">
      <c r="A6">
        <v>1005</v>
      </c>
      <c r="B6">
        <v>0.72916666666666663</v>
      </c>
      <c r="C6">
        <v>0.75471698113207553</v>
      </c>
      <c r="D6">
        <v>0.68965517241379315</v>
      </c>
      <c r="E6">
        <v>0.83333333333333337</v>
      </c>
      <c r="F6">
        <v>0.77083333333333337</v>
      </c>
      <c r="G6">
        <v>0.78431372549019607</v>
      </c>
      <c r="H6">
        <v>0.7407407407407407</v>
      </c>
      <c r="I6">
        <v>0.83333333333333337</v>
      </c>
    </row>
    <row r="7" spans="1:9" x14ac:dyDescent="0.3">
      <c r="B7">
        <f>AVERAGE(B2:B6)</f>
        <v>0.77083333333333326</v>
      </c>
      <c r="C7">
        <f t="shared" ref="C7:I7" si="0">AVERAGE(C2:C6)</f>
        <v>0.78602031930333816</v>
      </c>
      <c r="D7">
        <f t="shared" si="0"/>
        <v>0.73793103448275865</v>
      </c>
      <c r="E7">
        <f t="shared" si="0"/>
        <v>0.84166666666666656</v>
      </c>
      <c r="F7">
        <f t="shared" si="0"/>
        <v>0.78750000000000009</v>
      </c>
      <c r="G7">
        <f t="shared" si="0"/>
        <v>0.79535814325730292</v>
      </c>
      <c r="H7">
        <f t="shared" si="0"/>
        <v>0.76829629629629625</v>
      </c>
      <c r="I7">
        <f t="shared" si="0"/>
        <v>0.82499999999999996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5418-E2C9-49C1-AF2F-B04F76228844}">
  <sheetPr codeName="Sheet4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0.72916666666666663</v>
      </c>
      <c r="C2">
        <v>0.75471698113207553</v>
      </c>
      <c r="D2">
        <v>0.68965517241379315</v>
      </c>
      <c r="E2">
        <v>0.83333333333333337</v>
      </c>
      <c r="F2">
        <v>0.75</v>
      </c>
      <c r="G2">
        <v>0.76923076923076927</v>
      </c>
      <c r="H2">
        <v>0.7142857142857143</v>
      </c>
      <c r="I2">
        <v>0.83333333333333337</v>
      </c>
    </row>
    <row r="3" spans="1:9" x14ac:dyDescent="0.3">
      <c r="A3">
        <v>1002</v>
      </c>
      <c r="B3">
        <v>0.77083333333333337</v>
      </c>
      <c r="C3">
        <v>0.79245283018867929</v>
      </c>
      <c r="D3">
        <v>0.72413793103448276</v>
      </c>
      <c r="E3">
        <v>0.875</v>
      </c>
      <c r="F3">
        <v>0.75</v>
      </c>
      <c r="G3">
        <v>0.76923076923076927</v>
      </c>
      <c r="H3">
        <v>0.7142857142857143</v>
      </c>
      <c r="I3">
        <v>0.83333333333333337</v>
      </c>
    </row>
    <row r="4" spans="1:9" x14ac:dyDescent="0.3">
      <c r="A4">
        <v>1003</v>
      </c>
      <c r="B4">
        <v>0.72916666666666663</v>
      </c>
      <c r="C4">
        <v>0.75471698113207553</v>
      </c>
      <c r="D4">
        <v>0.68965517241379315</v>
      </c>
      <c r="E4">
        <v>0.83333333333333337</v>
      </c>
      <c r="F4">
        <v>0.8125</v>
      </c>
      <c r="G4">
        <v>0.81632653061224492</v>
      </c>
      <c r="H4">
        <v>0.8</v>
      </c>
      <c r="I4">
        <v>0.83333333333333337</v>
      </c>
    </row>
    <row r="5" spans="1:9" x14ac:dyDescent="0.3">
      <c r="A5">
        <v>1004</v>
      </c>
      <c r="B5">
        <v>0.72916666666666663</v>
      </c>
      <c r="C5">
        <v>0.76363636363636367</v>
      </c>
      <c r="D5">
        <v>0.67741935483870963</v>
      </c>
      <c r="E5">
        <v>0.875</v>
      </c>
      <c r="F5">
        <v>0.75</v>
      </c>
      <c r="G5">
        <v>0.76923076923076927</v>
      </c>
      <c r="H5">
        <v>0.7142857142857143</v>
      </c>
      <c r="I5">
        <v>0.83333333333333337</v>
      </c>
    </row>
    <row r="6" spans="1:9" x14ac:dyDescent="0.3">
      <c r="A6">
        <v>1005</v>
      </c>
      <c r="B6">
        <v>0.6875</v>
      </c>
      <c r="C6">
        <v>0.71698113207547165</v>
      </c>
      <c r="D6">
        <v>0.65517241379310343</v>
      </c>
      <c r="E6">
        <v>0.79166666666666663</v>
      </c>
      <c r="F6">
        <v>0.72916666666666663</v>
      </c>
      <c r="G6">
        <v>0.74509803921568629</v>
      </c>
      <c r="H6">
        <v>0.70370370370370372</v>
      </c>
      <c r="I6">
        <v>0.79166666666666663</v>
      </c>
    </row>
    <row r="7" spans="1:9" x14ac:dyDescent="0.3">
      <c r="B7">
        <f>AVERAGE(B2:B6)</f>
        <v>0.72916666666666663</v>
      </c>
      <c r="C7">
        <f t="shared" ref="C7:I7" si="0">AVERAGE(C2:C6)</f>
        <v>0.75650085763293307</v>
      </c>
      <c r="D7">
        <f t="shared" si="0"/>
        <v>0.68720800889877631</v>
      </c>
      <c r="E7">
        <f t="shared" si="0"/>
        <v>0.84166666666666679</v>
      </c>
      <c r="F7">
        <f t="shared" si="0"/>
        <v>0.7583333333333333</v>
      </c>
      <c r="G7">
        <f t="shared" si="0"/>
        <v>0.77382337550404778</v>
      </c>
      <c r="H7">
        <f t="shared" si="0"/>
        <v>0.72931216931216936</v>
      </c>
      <c r="I7">
        <f t="shared" si="0"/>
        <v>0.82499999999999996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F14C-0C0C-46D4-86D6-0F69059E40B6}">
  <sheetPr codeName="Sheet5"/>
  <dimension ref="A1:I7"/>
  <sheetViews>
    <sheetView topLeftCell="B1"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0.875</v>
      </c>
      <c r="C2">
        <v>0.88</v>
      </c>
      <c r="D2">
        <v>0.84615384615384615</v>
      </c>
      <c r="E2">
        <v>0.91666666666666663</v>
      </c>
      <c r="F2">
        <v>0.85416666666666663</v>
      </c>
      <c r="G2">
        <v>0.84444444444444444</v>
      </c>
      <c r="H2">
        <v>0.90476190476190477</v>
      </c>
      <c r="I2">
        <v>0.79166666666666663</v>
      </c>
    </row>
    <row r="3" spans="1:9" x14ac:dyDescent="0.3">
      <c r="A3">
        <v>1002</v>
      </c>
      <c r="B3">
        <v>0.85416666666666663</v>
      </c>
      <c r="C3">
        <v>0.85106382978723405</v>
      </c>
      <c r="D3">
        <v>0.86956521739130432</v>
      </c>
      <c r="E3">
        <v>0.83333333333333337</v>
      </c>
      <c r="F3">
        <v>0.8125</v>
      </c>
      <c r="G3">
        <v>0.79069767441860461</v>
      </c>
      <c r="H3">
        <v>0.89473684210526316</v>
      </c>
      <c r="I3">
        <v>0.70833333333333337</v>
      </c>
    </row>
    <row r="4" spans="1:9" x14ac:dyDescent="0.3">
      <c r="A4">
        <v>1003</v>
      </c>
      <c r="B4">
        <v>0.89583333333333337</v>
      </c>
      <c r="C4">
        <v>0.90196078431372562</v>
      </c>
      <c r="D4">
        <v>0.85185185185185186</v>
      </c>
      <c r="E4">
        <v>0.95833333333333337</v>
      </c>
      <c r="F4">
        <v>0.89583333333333337</v>
      </c>
      <c r="G4">
        <v>0.89795918367346939</v>
      </c>
      <c r="H4">
        <v>0.88</v>
      </c>
      <c r="I4">
        <v>0.91666666666666663</v>
      </c>
    </row>
    <row r="5" spans="1:9" x14ac:dyDescent="0.3">
      <c r="A5">
        <v>1004</v>
      </c>
      <c r="B5">
        <v>0.875</v>
      </c>
      <c r="C5">
        <v>0.88</v>
      </c>
      <c r="D5">
        <v>0.84615384615384615</v>
      </c>
      <c r="E5">
        <v>0.91666666666666663</v>
      </c>
      <c r="F5">
        <v>0.875</v>
      </c>
      <c r="G5">
        <v>0.875</v>
      </c>
      <c r="H5">
        <v>0.875</v>
      </c>
      <c r="I5">
        <v>0.875</v>
      </c>
    </row>
    <row r="6" spans="1:9" x14ac:dyDescent="0.3">
      <c r="A6">
        <v>1005</v>
      </c>
      <c r="B6">
        <v>0.85416666666666663</v>
      </c>
      <c r="C6">
        <v>0.8571428571428571</v>
      </c>
      <c r="D6">
        <v>0.84</v>
      </c>
      <c r="E6">
        <v>0.875</v>
      </c>
      <c r="F6">
        <v>0.875</v>
      </c>
      <c r="G6">
        <v>0.86956521739130432</v>
      </c>
      <c r="H6">
        <v>0.90909090909090906</v>
      </c>
      <c r="I6">
        <v>0.83333333333333337</v>
      </c>
    </row>
    <row r="7" spans="1:9" x14ac:dyDescent="0.3">
      <c r="B7">
        <f>SUBTOTAL(101,whisper_log_last1_auto_no____2[acc_test])</f>
        <v>0.87083333333333335</v>
      </c>
      <c r="C7">
        <f>SUBTOTAL(101,whisper_log_last1_auto_no____2[f1])</f>
        <v>0.87403349424876331</v>
      </c>
      <c r="D7">
        <f>SUBTOTAL(101,whisper_log_last1_auto_no____2[precision])</f>
        <v>0.85074495231016978</v>
      </c>
      <c r="E7">
        <f>SUBTOTAL(101,whisper_log_last1_auto_no____2[recall])</f>
        <v>0.9</v>
      </c>
      <c r="F7">
        <f>SUBTOTAL(101,whisper_log_last1_auto_no____2[acc_test_vote])</f>
        <v>0.86250000000000004</v>
      </c>
      <c r="G7">
        <f>SUBTOTAL(101,whisper_log_last1_auto_no____2[f1_vote])</f>
        <v>0.85553330398556449</v>
      </c>
      <c r="H7">
        <f>SUBTOTAL(101,whisper_log_last1_auto_no____2[precision_vote])</f>
        <v>0.89271793119161535</v>
      </c>
      <c r="I7">
        <f>SUBTOTAL(101,whisper_log_last1_auto_no____2[recall_vote])</f>
        <v>0.82499999999999996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D0A1-EFE8-4C6F-880C-4DA6CF7D2F92}">
  <sheetPr codeName="Sheet6"/>
  <dimension ref="A1:I7"/>
  <sheetViews>
    <sheetView topLeftCell="C1" workbookViewId="0">
      <selection activeCell="F16" sqref="F16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0.66666666666666663</v>
      </c>
      <c r="C2">
        <v>0.7142857142857143</v>
      </c>
      <c r="D2">
        <v>0.625</v>
      </c>
      <c r="E2">
        <v>0.83333333333333337</v>
      </c>
      <c r="F2">
        <v>0.6875</v>
      </c>
      <c r="G2">
        <v>0.71698113207547165</v>
      </c>
      <c r="H2">
        <v>0.65517241379310343</v>
      </c>
      <c r="I2">
        <v>0.79166666666666663</v>
      </c>
    </row>
    <row r="3" spans="1:9" x14ac:dyDescent="0.3">
      <c r="A3">
        <v>1002</v>
      </c>
      <c r="B3">
        <v>0.75</v>
      </c>
      <c r="C3">
        <v>0.7857142857142857</v>
      </c>
      <c r="D3">
        <v>0.6875</v>
      </c>
      <c r="E3">
        <v>0.91666666666666663</v>
      </c>
      <c r="F3">
        <v>0.75</v>
      </c>
      <c r="G3">
        <v>0.7857142857142857</v>
      </c>
      <c r="H3">
        <v>0.6875</v>
      </c>
      <c r="I3">
        <v>0.91666666666666663</v>
      </c>
    </row>
    <row r="4" spans="1:9" x14ac:dyDescent="0.3">
      <c r="A4">
        <v>1003</v>
      </c>
      <c r="B4">
        <v>0.6875</v>
      </c>
      <c r="C4">
        <v>0.72727272727272729</v>
      </c>
      <c r="D4">
        <v>0.64516129032258063</v>
      </c>
      <c r="E4">
        <v>0.83333333333333337</v>
      </c>
      <c r="F4">
        <v>0.70833333333333337</v>
      </c>
      <c r="G4">
        <v>0.73076923076923073</v>
      </c>
      <c r="H4">
        <v>0.6785714285714286</v>
      </c>
      <c r="I4">
        <v>0.79166666666666663</v>
      </c>
    </row>
    <row r="5" spans="1:9" x14ac:dyDescent="0.3">
      <c r="A5">
        <v>1004</v>
      </c>
      <c r="B5">
        <v>0.6875</v>
      </c>
      <c r="C5">
        <v>0.71698113207547165</v>
      </c>
      <c r="D5">
        <v>0.65517241379310343</v>
      </c>
      <c r="E5">
        <v>0.79166666666666663</v>
      </c>
      <c r="F5">
        <v>0.6875</v>
      </c>
      <c r="G5">
        <v>0.71698113207547165</v>
      </c>
      <c r="H5">
        <v>0.65517241379310343</v>
      </c>
      <c r="I5">
        <v>0.79166666666666663</v>
      </c>
    </row>
    <row r="6" spans="1:9" x14ac:dyDescent="0.3">
      <c r="A6">
        <v>1005</v>
      </c>
      <c r="B6">
        <v>0.72916666666666663</v>
      </c>
      <c r="C6">
        <v>0.77192982456140347</v>
      </c>
      <c r="D6">
        <v>0.66666666666666663</v>
      </c>
      <c r="E6">
        <v>0.91666666666666663</v>
      </c>
      <c r="F6">
        <v>0.77083333333333337</v>
      </c>
      <c r="G6">
        <v>0.8</v>
      </c>
      <c r="H6">
        <v>0.70967741935483875</v>
      </c>
      <c r="I6">
        <v>0.91666666666666663</v>
      </c>
    </row>
    <row r="7" spans="1:9" x14ac:dyDescent="0.3">
      <c r="B7">
        <f>AVERAGE(B2:B6)</f>
        <v>0.70416666666666661</v>
      </c>
      <c r="C7">
        <f t="shared" ref="C7:I7" si="0">AVERAGE(C2:C6)</f>
        <v>0.74323673678192059</v>
      </c>
      <c r="D7">
        <f t="shared" si="0"/>
        <v>0.65590007415647011</v>
      </c>
      <c r="E7">
        <f t="shared" si="0"/>
        <v>0.85833333333333339</v>
      </c>
      <c r="F7">
        <f t="shared" si="0"/>
        <v>0.72083333333333344</v>
      </c>
      <c r="G7">
        <f t="shared" si="0"/>
        <v>0.75008915612689187</v>
      </c>
      <c r="H7">
        <f t="shared" si="0"/>
        <v>0.67721873510249486</v>
      </c>
      <c r="I7">
        <f t="shared" si="0"/>
        <v>0.84166666666666656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33E0-4999-46DE-BEF7-03440C9025D5}">
  <sheetPr codeName="Sheet7"/>
  <dimension ref="A1:I7"/>
  <sheetViews>
    <sheetView workbookViewId="0">
      <selection activeCell="E23" sqref="E23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0.83333333333333337</v>
      </c>
      <c r="C2">
        <v>0.84615384615384615</v>
      </c>
      <c r="D2">
        <v>0.7857142857142857</v>
      </c>
      <c r="E2">
        <v>0.91666666666666663</v>
      </c>
      <c r="F2">
        <v>0.83333333333333337</v>
      </c>
      <c r="G2">
        <v>0.83333333333333337</v>
      </c>
      <c r="H2">
        <v>0.83333333333333337</v>
      </c>
      <c r="I2">
        <v>0.83333333333333337</v>
      </c>
    </row>
    <row r="3" spans="1:9" x14ac:dyDescent="0.3">
      <c r="A3">
        <v>1002</v>
      </c>
      <c r="B3">
        <v>0.72916666666666663</v>
      </c>
      <c r="C3">
        <v>0.73469387755102045</v>
      </c>
      <c r="D3">
        <v>0.72</v>
      </c>
      <c r="E3">
        <v>0.75</v>
      </c>
      <c r="F3">
        <v>0.75</v>
      </c>
      <c r="G3">
        <v>0.72727272727272729</v>
      </c>
      <c r="H3">
        <v>0.8</v>
      </c>
      <c r="I3">
        <v>0.66666666666666663</v>
      </c>
    </row>
    <row r="4" spans="1:9" x14ac:dyDescent="0.3">
      <c r="A4">
        <v>1003</v>
      </c>
      <c r="B4">
        <v>0.875</v>
      </c>
      <c r="C4">
        <v>0.88461538461538458</v>
      </c>
      <c r="D4">
        <v>0.8214285714285714</v>
      </c>
      <c r="E4">
        <v>0.95833333333333337</v>
      </c>
      <c r="F4">
        <v>0.85416666666666663</v>
      </c>
      <c r="G4">
        <v>0.85106382978723405</v>
      </c>
      <c r="H4">
        <v>0.86956521739130432</v>
      </c>
      <c r="I4">
        <v>0.83333333333333337</v>
      </c>
    </row>
    <row r="5" spans="1:9" x14ac:dyDescent="0.3">
      <c r="A5">
        <v>1004</v>
      </c>
      <c r="B5">
        <v>0.72916666666666663</v>
      </c>
      <c r="C5">
        <v>0.75471698113207553</v>
      </c>
      <c r="D5">
        <v>0.68965517241379315</v>
      </c>
      <c r="E5">
        <v>0.83333333333333337</v>
      </c>
      <c r="F5">
        <v>0.72916666666666663</v>
      </c>
      <c r="G5">
        <v>0.73469387755102045</v>
      </c>
      <c r="H5">
        <v>0.72</v>
      </c>
      <c r="I5">
        <v>0.75</v>
      </c>
    </row>
    <row r="6" spans="1:9" x14ac:dyDescent="0.3">
      <c r="A6">
        <v>1005</v>
      </c>
      <c r="B6">
        <v>0.77083333333333337</v>
      </c>
      <c r="C6">
        <v>0.79245283018867929</v>
      </c>
      <c r="D6">
        <v>0.72413793103448276</v>
      </c>
      <c r="E6">
        <v>0.875</v>
      </c>
      <c r="F6">
        <v>0.79166666666666663</v>
      </c>
      <c r="G6">
        <v>0.78260869565217395</v>
      </c>
      <c r="H6">
        <v>0.81818181818181823</v>
      </c>
      <c r="I6">
        <v>0.75</v>
      </c>
    </row>
    <row r="7" spans="1:9" x14ac:dyDescent="0.3">
      <c r="B7">
        <f>AVERAGE(B2:B6)</f>
        <v>0.78749999999999998</v>
      </c>
      <c r="C7">
        <f t="shared" ref="C7:I7" si="0">AVERAGE(C2:C6)</f>
        <v>0.8025265839282012</v>
      </c>
      <c r="D7">
        <f t="shared" si="0"/>
        <v>0.7481871921182266</v>
      </c>
      <c r="E7">
        <f t="shared" si="0"/>
        <v>0.86666666666666681</v>
      </c>
      <c r="F7">
        <f t="shared" si="0"/>
        <v>0.79166666666666663</v>
      </c>
      <c r="G7">
        <f t="shared" si="0"/>
        <v>0.78579449271929769</v>
      </c>
      <c r="H7">
        <f t="shared" si="0"/>
        <v>0.80821607378129112</v>
      </c>
      <c r="I7">
        <f t="shared" si="0"/>
        <v>0.76666666666666672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35F3-85F0-4C1A-9825-5440D00C3358}">
  <sheetPr codeName="Sheet8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0.85416666666666663</v>
      </c>
      <c r="C2">
        <v>0.86792452830188682</v>
      </c>
      <c r="D2">
        <v>0.7931034482758621</v>
      </c>
      <c r="E2">
        <v>0.95833333333333337</v>
      </c>
      <c r="F2">
        <v>0.89583333333333337</v>
      </c>
      <c r="G2">
        <v>0.8936170212765957</v>
      </c>
      <c r="H2">
        <v>0.91304347826086962</v>
      </c>
      <c r="I2">
        <v>0.875</v>
      </c>
    </row>
    <row r="3" spans="1:9" x14ac:dyDescent="0.3">
      <c r="A3">
        <v>1002</v>
      </c>
      <c r="B3">
        <v>0.85416666666666663</v>
      </c>
      <c r="C3">
        <v>0.86792452830188682</v>
      </c>
      <c r="D3">
        <v>0.7931034482758621</v>
      </c>
      <c r="E3">
        <v>0.95833333333333337</v>
      </c>
      <c r="F3">
        <v>0.89583333333333337</v>
      </c>
      <c r="G3">
        <v>0.8936170212765957</v>
      </c>
      <c r="H3">
        <v>0.91304347826086962</v>
      </c>
      <c r="I3">
        <v>0.875</v>
      </c>
    </row>
    <row r="4" spans="1:9" x14ac:dyDescent="0.3">
      <c r="A4">
        <v>1003</v>
      </c>
      <c r="B4">
        <v>0.85416666666666663</v>
      </c>
      <c r="C4">
        <v>0.86792452830188682</v>
      </c>
      <c r="D4">
        <v>0.7931034482758621</v>
      </c>
      <c r="E4">
        <v>0.95833333333333337</v>
      </c>
      <c r="F4">
        <v>0.875</v>
      </c>
      <c r="G4">
        <v>0.86956521739130432</v>
      </c>
      <c r="H4">
        <v>0.90909090909090917</v>
      </c>
      <c r="I4">
        <v>0.83333333333333337</v>
      </c>
    </row>
    <row r="5" spans="1:9" x14ac:dyDescent="0.3">
      <c r="A5">
        <v>1004</v>
      </c>
      <c r="B5">
        <v>0.91666666666666663</v>
      </c>
      <c r="C5">
        <v>0.92307692307692324</v>
      </c>
      <c r="D5">
        <v>0.8571428571428571</v>
      </c>
      <c r="E5">
        <v>1</v>
      </c>
      <c r="F5">
        <v>0.91666666666666663</v>
      </c>
      <c r="G5">
        <v>0.91666666666666663</v>
      </c>
      <c r="H5">
        <v>0.91666666666666663</v>
      </c>
      <c r="I5">
        <v>0.91666666666666663</v>
      </c>
    </row>
    <row r="6" spans="1:9" x14ac:dyDescent="0.3">
      <c r="A6">
        <v>1005</v>
      </c>
      <c r="B6">
        <v>0.83333333333333337</v>
      </c>
      <c r="C6">
        <v>0.84615384615384615</v>
      </c>
      <c r="D6">
        <v>0.7857142857142857</v>
      </c>
      <c r="E6">
        <v>0.91666666666666663</v>
      </c>
      <c r="F6">
        <v>0.83333333333333337</v>
      </c>
      <c r="G6">
        <v>0.84</v>
      </c>
      <c r="H6">
        <v>0.80769230769230771</v>
      </c>
      <c r="I6">
        <v>0.875</v>
      </c>
    </row>
    <row r="7" spans="1:9" x14ac:dyDescent="0.3">
      <c r="B7">
        <f>AVERAGE(B2:B6)</f>
        <v>0.86250000000000004</v>
      </c>
      <c r="C7">
        <f t="shared" ref="C7:I7" si="0">AVERAGE(C2:C6)</f>
        <v>0.87460087082728588</v>
      </c>
      <c r="D7">
        <f t="shared" si="0"/>
        <v>0.80443349753694593</v>
      </c>
      <c r="E7">
        <f t="shared" si="0"/>
        <v>0.95833333333333337</v>
      </c>
      <c r="F7">
        <f t="shared" si="0"/>
        <v>0.88333333333333341</v>
      </c>
      <c r="G7">
        <f t="shared" si="0"/>
        <v>0.88269318532223251</v>
      </c>
      <c r="H7">
        <f t="shared" si="0"/>
        <v>0.89190736799432457</v>
      </c>
      <c r="I7">
        <f t="shared" si="0"/>
        <v>0.875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CB76-BDCE-4A49-8E26-66467BA0B27A}">
  <sheetPr codeName="Sheet9"/>
  <dimension ref="A1:I7"/>
  <sheetViews>
    <sheetView topLeftCell="C1"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0.72916666666666663</v>
      </c>
      <c r="C2">
        <v>0.75471698113207553</v>
      </c>
      <c r="D2">
        <v>0.68965517241379315</v>
      </c>
      <c r="E2">
        <v>0.83333333333333337</v>
      </c>
      <c r="F2">
        <v>0.72916666666666663</v>
      </c>
      <c r="G2">
        <v>0.74509803921568629</v>
      </c>
      <c r="H2">
        <v>0.70370370370370372</v>
      </c>
      <c r="I2">
        <v>0.79166666666666663</v>
      </c>
    </row>
    <row r="3" spans="1:9" x14ac:dyDescent="0.3">
      <c r="A3">
        <v>1002</v>
      </c>
      <c r="B3">
        <v>0.72916666666666663</v>
      </c>
      <c r="C3">
        <v>0.74509803921568629</v>
      </c>
      <c r="D3">
        <v>0.70370370370370372</v>
      </c>
      <c r="E3">
        <v>0.79166666666666663</v>
      </c>
      <c r="F3">
        <v>0.79166666666666663</v>
      </c>
      <c r="G3">
        <v>0.79166666666666663</v>
      </c>
      <c r="H3">
        <v>0.79166666666666663</v>
      </c>
      <c r="I3">
        <v>0.79166666666666663</v>
      </c>
    </row>
    <row r="4" spans="1:9" x14ac:dyDescent="0.3">
      <c r="A4">
        <v>1003</v>
      </c>
      <c r="B4">
        <v>0.77083333333333337</v>
      </c>
      <c r="C4">
        <v>0.78431372549019607</v>
      </c>
      <c r="D4">
        <v>0.7407407407407407</v>
      </c>
      <c r="E4">
        <v>0.83333333333333337</v>
      </c>
      <c r="F4">
        <v>0.79166666666666663</v>
      </c>
      <c r="G4">
        <v>0.8</v>
      </c>
      <c r="H4">
        <v>0.76923076923076927</v>
      </c>
      <c r="I4">
        <v>0.83333333333333337</v>
      </c>
    </row>
    <row r="5" spans="1:9" x14ac:dyDescent="0.3">
      <c r="A5">
        <v>1004</v>
      </c>
      <c r="B5">
        <v>0.77083333333333337</v>
      </c>
      <c r="C5">
        <v>0.79245283018867929</v>
      </c>
      <c r="D5">
        <v>0.72413793103448276</v>
      </c>
      <c r="E5">
        <v>0.875</v>
      </c>
      <c r="F5">
        <v>0.83333333333333337</v>
      </c>
      <c r="G5">
        <v>0.83333333333333337</v>
      </c>
      <c r="H5">
        <v>0.83333333333333337</v>
      </c>
      <c r="I5">
        <v>0.83333333333333337</v>
      </c>
    </row>
    <row r="6" spans="1:9" x14ac:dyDescent="0.3">
      <c r="A6">
        <v>1005</v>
      </c>
      <c r="B6">
        <v>0.79166666666666663</v>
      </c>
      <c r="C6">
        <v>0.8</v>
      </c>
      <c r="D6">
        <v>0.76923076923076927</v>
      </c>
      <c r="E6">
        <v>0.83333333333333337</v>
      </c>
      <c r="F6">
        <v>0.83333333333333337</v>
      </c>
      <c r="G6">
        <v>0.82608695652173914</v>
      </c>
      <c r="H6">
        <v>0.86363636363636365</v>
      </c>
      <c r="I6">
        <v>0.79166666666666663</v>
      </c>
    </row>
    <row r="7" spans="1:9" x14ac:dyDescent="0.3">
      <c r="B7">
        <f>SUBTOTAL(101,whisper_log_last5_auto_no____2[acc_test])</f>
        <v>0.7583333333333333</v>
      </c>
      <c r="C7">
        <f>SUBTOTAL(101,whisper_log_last5_auto_no____2[f1])</f>
        <v>0.7753163152053274</v>
      </c>
      <c r="D7">
        <f>SUBTOTAL(101,whisper_log_last5_auto_no____2[precision])</f>
        <v>0.72549366342469779</v>
      </c>
      <c r="E7">
        <f>SUBTOTAL(101,whisper_log_last5_auto_no____2[recall])</f>
        <v>0.83333333333333337</v>
      </c>
      <c r="F7">
        <f>SUBTOTAL(101,whisper_log_last5_auto_no____2[acc_test_vote])</f>
        <v>0.79583333333333339</v>
      </c>
      <c r="G7">
        <f>SUBTOTAL(101,whisper_log_last5_auto_no____2[f1_vote])</f>
        <v>0.79923699914748514</v>
      </c>
      <c r="H7">
        <f>SUBTOTAL(101,whisper_log_last5_auto_no____2[precision_vote])</f>
        <v>0.79231416731416737</v>
      </c>
      <c r="I7">
        <f>SUBTOTAL(101,whisper_log_last5_auto_no____2[recall_vote])</f>
        <v>0.80833333333333335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FB0B-38AB-4C79-B390-4DE33712C6AC}">
  <sheetPr codeName="Sheet10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0.75</v>
      </c>
      <c r="C2">
        <v>0.76923076923076927</v>
      </c>
      <c r="D2">
        <v>0.7142857142857143</v>
      </c>
      <c r="E2">
        <v>0.83333333333333337</v>
      </c>
      <c r="F2">
        <v>0.79166666666666663</v>
      </c>
      <c r="G2">
        <v>0.79166666666666663</v>
      </c>
      <c r="H2">
        <v>0.79166666666666663</v>
      </c>
      <c r="I2">
        <v>0.79166666666666663</v>
      </c>
    </row>
    <row r="3" spans="1:9" x14ac:dyDescent="0.3">
      <c r="A3">
        <v>1002</v>
      </c>
      <c r="B3">
        <v>0.72916666666666663</v>
      </c>
      <c r="C3">
        <v>0.77192982456140347</v>
      </c>
      <c r="D3">
        <v>0.66666666666666663</v>
      </c>
      <c r="E3">
        <v>0.91666666666666663</v>
      </c>
      <c r="F3">
        <v>0.77083333333333337</v>
      </c>
      <c r="G3">
        <v>0.79245283018867929</v>
      </c>
      <c r="H3">
        <v>0.72413793103448276</v>
      </c>
      <c r="I3">
        <v>0.875</v>
      </c>
    </row>
    <row r="4" spans="1:9" x14ac:dyDescent="0.3">
      <c r="A4">
        <v>1003</v>
      </c>
      <c r="B4">
        <v>0.79166666666666663</v>
      </c>
      <c r="C4">
        <v>0.80769230769230771</v>
      </c>
      <c r="D4">
        <v>0.75</v>
      </c>
      <c r="E4">
        <v>0.875</v>
      </c>
      <c r="F4">
        <v>0.83333333333333337</v>
      </c>
      <c r="G4">
        <v>0.83333333333333337</v>
      </c>
      <c r="H4">
        <v>0.83333333333333337</v>
      </c>
      <c r="I4">
        <v>0.83333333333333337</v>
      </c>
    </row>
    <row r="5" spans="1:9" x14ac:dyDescent="0.3">
      <c r="A5">
        <v>1004</v>
      </c>
      <c r="B5">
        <v>0.77083333333333337</v>
      </c>
      <c r="C5">
        <v>0.8</v>
      </c>
      <c r="D5">
        <v>0.70967741935483875</v>
      </c>
      <c r="E5">
        <v>0.91666666666666663</v>
      </c>
      <c r="F5">
        <v>0.79166666666666663</v>
      </c>
      <c r="G5">
        <v>0.79166666666666663</v>
      </c>
      <c r="H5">
        <v>0.79166666666666663</v>
      </c>
      <c r="I5">
        <v>0.79166666666666663</v>
      </c>
    </row>
    <row r="6" spans="1:9" x14ac:dyDescent="0.3">
      <c r="A6">
        <v>1005</v>
      </c>
      <c r="B6">
        <v>0.79166666666666663</v>
      </c>
      <c r="C6">
        <v>0.81481481481481477</v>
      </c>
      <c r="D6">
        <v>0.73333333333333328</v>
      </c>
      <c r="E6">
        <v>0.91666666666666663</v>
      </c>
      <c r="F6">
        <v>0.83333333333333337</v>
      </c>
      <c r="G6">
        <v>0.84</v>
      </c>
      <c r="H6">
        <v>0.80769230769230771</v>
      </c>
      <c r="I6">
        <v>0.875</v>
      </c>
    </row>
    <row r="7" spans="1:9" x14ac:dyDescent="0.3">
      <c r="B7">
        <f>AVERAGE(B2:B6)</f>
        <v>0.76666666666666661</v>
      </c>
      <c r="C7">
        <f t="shared" ref="C7:I7" si="0">AVERAGE(C2:C6)</f>
        <v>0.79273354325985912</v>
      </c>
      <c r="D7">
        <f t="shared" si="0"/>
        <v>0.71479262672811061</v>
      </c>
      <c r="E7">
        <f t="shared" si="0"/>
        <v>0.89166666666666661</v>
      </c>
      <c r="F7">
        <f t="shared" si="0"/>
        <v>0.80416666666666659</v>
      </c>
      <c r="G7">
        <f t="shared" si="0"/>
        <v>0.80982389937106924</v>
      </c>
      <c r="H7">
        <f t="shared" si="0"/>
        <v>0.78969938107869131</v>
      </c>
      <c r="I7">
        <f t="shared" si="0"/>
        <v>0.83333333333333326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E3A4-B192-4027-BB68-5AC23C154A03}">
  <sheetPr codeName="Sheet11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0.70833333333333337</v>
      </c>
      <c r="C2">
        <v>0.7407407407407407</v>
      </c>
      <c r="D2">
        <v>0.66666666666666663</v>
      </c>
      <c r="E2">
        <v>0.83333333333333337</v>
      </c>
      <c r="F2">
        <v>0.75</v>
      </c>
      <c r="G2">
        <v>0.76</v>
      </c>
      <c r="H2">
        <v>0.73076923076923073</v>
      </c>
      <c r="I2">
        <v>0.79166666666666663</v>
      </c>
    </row>
    <row r="3" spans="1:9" x14ac:dyDescent="0.3">
      <c r="A3">
        <v>1002</v>
      </c>
      <c r="B3">
        <v>0.72916666666666663</v>
      </c>
      <c r="C3">
        <v>0.73469387755102045</v>
      </c>
      <c r="D3">
        <v>0.72</v>
      </c>
      <c r="E3">
        <v>0.75</v>
      </c>
      <c r="F3">
        <v>0.77083333333333337</v>
      </c>
      <c r="G3">
        <v>0.76595744680851063</v>
      </c>
      <c r="H3">
        <v>0.78260869565217395</v>
      </c>
      <c r="I3">
        <v>0.75</v>
      </c>
    </row>
    <row r="4" spans="1:9" x14ac:dyDescent="0.3">
      <c r="A4">
        <v>1003</v>
      </c>
      <c r="B4">
        <v>0.75</v>
      </c>
      <c r="C4">
        <v>0.7857142857142857</v>
      </c>
      <c r="D4">
        <v>0.6875</v>
      </c>
      <c r="E4">
        <v>0.91666666666666663</v>
      </c>
      <c r="F4">
        <v>0.75</v>
      </c>
      <c r="G4">
        <v>0.76</v>
      </c>
      <c r="H4">
        <v>0.73076923076923073</v>
      </c>
      <c r="I4">
        <v>0.79166666666666663</v>
      </c>
    </row>
    <row r="5" spans="1:9" x14ac:dyDescent="0.3">
      <c r="A5">
        <v>1004</v>
      </c>
      <c r="B5">
        <v>0.6875</v>
      </c>
      <c r="C5">
        <v>0.70588235294117652</v>
      </c>
      <c r="D5">
        <v>0.66666666666666663</v>
      </c>
      <c r="E5">
        <v>0.75</v>
      </c>
      <c r="F5">
        <v>0.79166666666666663</v>
      </c>
      <c r="G5">
        <v>0.78260869565217395</v>
      </c>
      <c r="H5">
        <v>0.81818181818181823</v>
      </c>
      <c r="I5">
        <v>0.75</v>
      </c>
    </row>
    <row r="6" spans="1:9" x14ac:dyDescent="0.3">
      <c r="A6">
        <v>1005</v>
      </c>
      <c r="B6">
        <v>0.70833333333333337</v>
      </c>
      <c r="C6">
        <v>0.7407407407407407</v>
      </c>
      <c r="D6">
        <v>0.66666666666666663</v>
      </c>
      <c r="E6">
        <v>0.83333333333333337</v>
      </c>
      <c r="F6">
        <v>0.75</v>
      </c>
      <c r="G6">
        <v>0.75</v>
      </c>
      <c r="H6">
        <v>0.75</v>
      </c>
      <c r="I6">
        <v>0.75</v>
      </c>
    </row>
    <row r="7" spans="1:9" x14ac:dyDescent="0.3">
      <c r="B7">
        <f>AVERAGE(B2:B6)</f>
        <v>0.71666666666666667</v>
      </c>
      <c r="C7">
        <f t="shared" ref="C7:I7" si="0">AVERAGE(C2:C6)</f>
        <v>0.74155439953759283</v>
      </c>
      <c r="D7">
        <f t="shared" si="0"/>
        <v>0.68149999999999999</v>
      </c>
      <c r="E7">
        <f t="shared" si="0"/>
        <v>0.81666666666666665</v>
      </c>
      <c r="F7">
        <f t="shared" si="0"/>
        <v>0.76249999999999996</v>
      </c>
      <c r="G7">
        <f t="shared" si="0"/>
        <v>0.76371322849213696</v>
      </c>
      <c r="H7">
        <f t="shared" si="0"/>
        <v>0.76246579507449075</v>
      </c>
      <c r="I7">
        <f t="shared" si="0"/>
        <v>0.76666666666666661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4211-B431-42D1-8184-C702BF951452}">
  <sheetPr codeName="Sheet12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0.75</v>
      </c>
      <c r="C2">
        <v>0.77777777777777779</v>
      </c>
      <c r="D2">
        <v>0.7</v>
      </c>
      <c r="E2">
        <v>0.875</v>
      </c>
      <c r="F2">
        <v>0.77083333333333337</v>
      </c>
      <c r="G2">
        <v>0.77551020408163263</v>
      </c>
      <c r="H2">
        <v>0.76</v>
      </c>
      <c r="I2">
        <v>0.79166666666666663</v>
      </c>
    </row>
    <row r="3" spans="1:9" x14ac:dyDescent="0.3">
      <c r="A3">
        <v>1002</v>
      </c>
      <c r="B3">
        <v>0.83333333333333337</v>
      </c>
      <c r="C3">
        <v>0.84</v>
      </c>
      <c r="D3">
        <v>0.80769230769230771</v>
      </c>
      <c r="E3">
        <v>0.875</v>
      </c>
      <c r="F3">
        <v>0.8125</v>
      </c>
      <c r="G3">
        <v>0.80851063829787229</v>
      </c>
      <c r="H3">
        <v>0.82608695652173914</v>
      </c>
      <c r="I3">
        <v>0.79166666666666663</v>
      </c>
    </row>
    <row r="4" spans="1:9" x14ac:dyDescent="0.3">
      <c r="A4">
        <v>1003</v>
      </c>
      <c r="B4">
        <v>0.75</v>
      </c>
      <c r="C4">
        <v>0.75</v>
      </c>
      <c r="D4">
        <v>0.75</v>
      </c>
      <c r="E4">
        <v>0.75</v>
      </c>
      <c r="F4">
        <v>0.77083333333333337</v>
      </c>
      <c r="G4">
        <v>0.76595744680851063</v>
      </c>
      <c r="H4">
        <v>0.78260869565217395</v>
      </c>
      <c r="I4">
        <v>0.75</v>
      </c>
    </row>
    <row r="5" spans="1:9" x14ac:dyDescent="0.3">
      <c r="A5">
        <v>1004</v>
      </c>
      <c r="B5">
        <v>0.77083333333333337</v>
      </c>
      <c r="C5">
        <v>0.79245283018867929</v>
      </c>
      <c r="D5">
        <v>0.72413793103448276</v>
      </c>
      <c r="E5">
        <v>0.875</v>
      </c>
      <c r="F5">
        <v>0.8125</v>
      </c>
      <c r="G5">
        <v>0.81632653061224492</v>
      </c>
      <c r="H5">
        <v>0.8</v>
      </c>
      <c r="I5">
        <v>0.83333333333333337</v>
      </c>
    </row>
    <row r="6" spans="1:9" x14ac:dyDescent="0.3">
      <c r="A6">
        <v>1005</v>
      </c>
      <c r="B6">
        <v>0.72916666666666663</v>
      </c>
      <c r="C6">
        <v>0.75471698113207553</v>
      </c>
      <c r="D6">
        <v>0.68965517241379315</v>
      </c>
      <c r="E6">
        <v>0.83333333333333337</v>
      </c>
      <c r="F6">
        <v>0.8125</v>
      </c>
      <c r="G6">
        <v>0.81632653061224492</v>
      </c>
      <c r="H6">
        <v>0.8</v>
      </c>
      <c r="I6">
        <v>0.83333333333333337</v>
      </c>
    </row>
    <row r="7" spans="1:9" x14ac:dyDescent="0.3">
      <c r="B7">
        <f>AVERAGE(B2:B6)</f>
        <v>0.76666666666666672</v>
      </c>
      <c r="C7">
        <f t="shared" ref="C7:I7" si="0">AVERAGE(C2:C6)</f>
        <v>0.78298951781970649</v>
      </c>
      <c r="D7">
        <f t="shared" si="0"/>
        <v>0.73429708222811674</v>
      </c>
      <c r="E7">
        <f t="shared" si="0"/>
        <v>0.84166666666666656</v>
      </c>
      <c r="F7">
        <f t="shared" si="0"/>
        <v>0.79583333333333339</v>
      </c>
      <c r="G7">
        <f t="shared" si="0"/>
        <v>0.7965262700825011</v>
      </c>
      <c r="H7">
        <f t="shared" si="0"/>
        <v>0.7937391304347825</v>
      </c>
      <c r="I7">
        <f t="shared" si="0"/>
        <v>0.8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9430-DECA-4340-A6DD-EB010149E779}">
  <sheetPr codeName="Sheet13"/>
  <dimension ref="B1:C12"/>
  <sheetViews>
    <sheetView tabSelected="1" workbookViewId="0">
      <selection activeCell="B11" sqref="B11"/>
    </sheetView>
  </sheetViews>
  <sheetFormatPr defaultRowHeight="14" x14ac:dyDescent="0.3"/>
  <sheetData>
    <row r="1" spans="2:3" x14ac:dyDescent="0.3">
      <c r="B1">
        <f ca="1">INDIRECT("'" &amp; 12 &amp; "'!f7")</f>
        <v>0.72083333333333344</v>
      </c>
      <c r="C1">
        <f ca="1">INDIRECT("'" &amp; 12 &amp; "'!G7")</f>
        <v>0.75008915612689187</v>
      </c>
    </row>
    <row r="2" spans="2:3" x14ac:dyDescent="0.3">
      <c r="B2">
        <f ca="1">INDIRECT("'" &amp; 11 &amp; "'!f7")</f>
        <v>0.7583333333333333</v>
      </c>
      <c r="C2">
        <f ca="1">INDIRECT("'" &amp; 11 &amp; "'!G7")</f>
        <v>0.77382337550404778</v>
      </c>
    </row>
    <row r="3" spans="2:3" x14ac:dyDescent="0.3">
      <c r="B3">
        <f ca="1">INDIRECT("'" &amp; 10 &amp; "'!f7")</f>
        <v>0.79166666666666663</v>
      </c>
      <c r="C3">
        <f ca="1">INDIRECT("'" &amp; 10 &amp; "'!G7")</f>
        <v>0.79336734693877542</v>
      </c>
    </row>
    <row r="4" spans="2:3" x14ac:dyDescent="0.3">
      <c r="B4">
        <f ca="1">INDIRECT("'" &amp; 9 &amp; "'!f7")</f>
        <v>0.79583333333333339</v>
      </c>
      <c r="C4">
        <f ca="1">INDIRECT("'" &amp;9 &amp; "'!G7")</f>
        <v>0.7965262700825011</v>
      </c>
    </row>
    <row r="5" spans="2:3" x14ac:dyDescent="0.3">
      <c r="B5">
        <f ca="1">INDIRECT("'" &amp; 8 &amp; "'!f7")</f>
        <v>0.78750000000000009</v>
      </c>
      <c r="C5">
        <f ca="1">INDIRECT("'" &amp; 8 &amp; "'!G7")</f>
        <v>0.79535814325730292</v>
      </c>
    </row>
    <row r="6" spans="2:3" x14ac:dyDescent="0.3">
      <c r="B6">
        <f ca="1">INDIRECT("'" &amp; 7 &amp; "'!f7")</f>
        <v>0.82499999999999996</v>
      </c>
      <c r="C6">
        <f ca="1">INDIRECT("'" &amp; 7 &amp; "'!G7")</f>
        <v>0.82524822695035471</v>
      </c>
    </row>
    <row r="7" spans="2:3" x14ac:dyDescent="0.3">
      <c r="B7">
        <f ca="1">INDIRECT("'" &amp; 6 &amp; "'!f7")</f>
        <v>0.80416666666666659</v>
      </c>
      <c r="C7">
        <f ca="1">INDIRECT("'" &amp; 6 &amp; "'!G7")</f>
        <v>0.80982389937106924</v>
      </c>
    </row>
    <row r="8" spans="2:3" x14ac:dyDescent="0.3">
      <c r="B8">
        <f ca="1">INDIRECT("'" &amp; 5 &amp; "'!f7")</f>
        <v>0.79583333333333339</v>
      </c>
      <c r="C8">
        <f ca="1">INDIRECT("'" &amp; 5 &amp; "'!G7")</f>
        <v>0.79923699914748514</v>
      </c>
    </row>
    <row r="9" spans="2:3" x14ac:dyDescent="0.3">
      <c r="B9">
        <f ca="1">INDIRECT("'" &amp; 4 &amp; "'!f7")</f>
        <v>0.76249999999999996</v>
      </c>
      <c r="C9">
        <f ca="1">INDIRECT("'" &amp; 4 &amp; "'!G7")</f>
        <v>0.76371322849213696</v>
      </c>
    </row>
    <row r="10" spans="2:3" x14ac:dyDescent="0.3">
      <c r="B10">
        <f ca="1">INDIRECT("'" &amp; 3 &amp; "'!f7")</f>
        <v>0.79166666666666663</v>
      </c>
      <c r="C10">
        <f ca="1">INDIRECT("'" &amp; 3 &amp; "'!G7")</f>
        <v>0.78579449271929769</v>
      </c>
    </row>
    <row r="11" spans="2:3" x14ac:dyDescent="0.3">
      <c r="B11">
        <f ca="1">INDIRECT("'" &amp; 2 &amp; "'!f7")</f>
        <v>0.88333333333333341</v>
      </c>
      <c r="C11">
        <f ca="1">INDIRECT("'" &amp; 2 &amp; "'!G7")</f>
        <v>0.88269318532223251</v>
      </c>
    </row>
    <row r="12" spans="2:3" x14ac:dyDescent="0.3">
      <c r="B12">
        <f ca="1">INDIRECT("'" &amp; 1 &amp; "'!f7")</f>
        <v>0.86250000000000004</v>
      </c>
      <c r="C12">
        <f ca="1">INDIRECT("'" &amp; 1 &amp; "'!G7")</f>
        <v>0.85553330398556449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E17564-8CDE-4956-8C2C-C7F315FB08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7</vt:lpstr>
      <vt:lpstr>10</vt:lpstr>
      <vt:lpstr>8</vt:lpstr>
      <vt:lpstr>11</vt:lpstr>
      <vt:lpstr>1</vt:lpstr>
      <vt:lpstr>12</vt:lpstr>
      <vt:lpstr>3</vt:lpstr>
      <vt:lpstr>2</vt:lpstr>
      <vt:lpstr>5</vt:lpstr>
      <vt:lpstr>6</vt:lpstr>
      <vt:lpstr>4</vt:lpstr>
      <vt:lpstr>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 yu</dc:creator>
  <cp:lastModifiedBy>sc yu</cp:lastModifiedBy>
  <dcterms:created xsi:type="dcterms:W3CDTF">2025-10-28T11:08:59Z</dcterms:created>
  <dcterms:modified xsi:type="dcterms:W3CDTF">2025-11-01T15:48:32Z</dcterms:modified>
</cp:coreProperties>
</file>