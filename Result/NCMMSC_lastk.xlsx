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aperSource\whisper1_12\NCMMSC2021\NCMM_last(1)(1)\"/>
    </mc:Choice>
  </mc:AlternateContent>
  <xr:revisionPtr revIDLastSave="0" documentId="13_ncr:1_{B3F32DC5-42DB-4A57-8825-EA18C7A584CD}" xr6:coauthVersionLast="47" xr6:coauthVersionMax="47" xr10:uidLastSave="{00000000-0000-0000-0000-000000000000}"/>
  <bookViews>
    <workbookView xWindow="-110" yWindow="-110" windowWidth="25820" windowHeight="15500" activeTab="12" xr2:uid="{68A32940-F38A-4CD9-A387-6C3B0E07C763}"/>
  </bookViews>
  <sheets>
    <sheet name="12" sheetId="12" r:id="rId1"/>
    <sheet name="11" sheetId="11" r:id="rId2"/>
    <sheet name="10" sheetId="10" r:id="rId3"/>
    <sheet name="9" sheetId="9" r:id="rId4"/>
    <sheet name="8" sheetId="8" r:id="rId5"/>
    <sheet name="7" sheetId="7" r:id="rId6"/>
    <sheet name="6" sheetId="6" r:id="rId7"/>
    <sheet name="5" sheetId="5" r:id="rId8"/>
    <sheet name="4" sheetId="4" r:id="rId9"/>
    <sheet name="3" sheetId="3" r:id="rId10"/>
    <sheet name="2" sheetId="2" r:id="rId11"/>
    <sheet name="1" sheetId="13" r:id="rId12"/>
    <sheet name="Sheet1" sheetId="1" r:id="rId13"/>
  </sheets>
  <definedNames>
    <definedName name="ExternalData_1" localSheetId="11" hidden="1">'1'!$A$1:$I$6</definedName>
    <definedName name="ExternalData_1" localSheetId="10" hidden="1">'2'!$A$1:$I$6</definedName>
    <definedName name="ExternalData_10" localSheetId="1" hidden="1">'11'!$A$1:$I$6</definedName>
    <definedName name="ExternalData_11" localSheetId="0" hidden="1">'12'!$A$1:$I$6</definedName>
    <definedName name="ExternalData_2" localSheetId="9" hidden="1">'3'!$A$1:$I$6</definedName>
    <definedName name="ExternalData_3" localSheetId="8" hidden="1">'4'!$A$1:$I$6</definedName>
    <definedName name="ExternalData_4" localSheetId="7" hidden="1">'5'!$A$1:$I$6</definedName>
    <definedName name="ExternalData_5" localSheetId="6" hidden="1">'6'!$A$1:$I$6</definedName>
    <definedName name="ExternalData_6" localSheetId="5" hidden="1">'7'!$A$1:$I$6</definedName>
    <definedName name="ExternalData_7" localSheetId="4" hidden="1">'8'!$A$1:$I$6</definedName>
    <definedName name="ExternalData_8" localSheetId="3" hidden="1">'9'!$A$1:$I$6</definedName>
    <definedName name="ExternalData_9" localSheetId="2" hidden="1">'10'!$A$1:$I$6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3" l="1"/>
  <c r="D7" i="13"/>
  <c r="E7" i="13"/>
  <c r="F7" i="13"/>
  <c r="G7" i="13"/>
  <c r="H7" i="13"/>
  <c r="I7" i="13"/>
  <c r="B7" i="13"/>
  <c r="C7" i="11"/>
  <c r="D7" i="11"/>
  <c r="E7" i="11"/>
  <c r="F7" i="11"/>
  <c r="G7" i="11"/>
  <c r="H7" i="11"/>
  <c r="I7" i="11"/>
  <c r="C7" i="10"/>
  <c r="D7" i="10"/>
  <c r="E7" i="10"/>
  <c r="F7" i="10"/>
  <c r="G7" i="10"/>
  <c r="H7" i="10"/>
  <c r="I7" i="10"/>
  <c r="C7" i="9"/>
  <c r="D7" i="9"/>
  <c r="E7" i="9"/>
  <c r="F7" i="9"/>
  <c r="G7" i="9"/>
  <c r="H7" i="9"/>
  <c r="I7" i="9"/>
  <c r="C7" i="8"/>
  <c r="D7" i="8"/>
  <c r="E7" i="8"/>
  <c r="F7" i="8"/>
  <c r="G7" i="8"/>
  <c r="H7" i="8"/>
  <c r="I7" i="8"/>
  <c r="C7" i="7"/>
  <c r="D7" i="7"/>
  <c r="E7" i="7"/>
  <c r="F7" i="7"/>
  <c r="G7" i="7"/>
  <c r="H7" i="7"/>
  <c r="I7" i="7"/>
  <c r="C7" i="6"/>
  <c r="D7" i="6"/>
  <c r="E7" i="6"/>
  <c r="F7" i="6"/>
  <c r="G7" i="6"/>
  <c r="H7" i="6"/>
  <c r="I7" i="6"/>
  <c r="C7" i="5"/>
  <c r="D7" i="5"/>
  <c r="E7" i="5"/>
  <c r="F7" i="5"/>
  <c r="G7" i="5"/>
  <c r="H7" i="5"/>
  <c r="I7" i="5"/>
  <c r="C7" i="4"/>
  <c r="D7" i="4"/>
  <c r="E7" i="4"/>
  <c r="F7" i="4"/>
  <c r="G7" i="4"/>
  <c r="H7" i="4"/>
  <c r="I7" i="4"/>
  <c r="C7" i="3"/>
  <c r="D7" i="3"/>
  <c r="E7" i="3"/>
  <c r="F7" i="3"/>
  <c r="G7" i="3"/>
  <c r="H7" i="3"/>
  <c r="I7" i="3"/>
  <c r="C7" i="2"/>
  <c r="D7" i="2"/>
  <c r="E7" i="2"/>
  <c r="F7" i="2"/>
  <c r="G7" i="2"/>
  <c r="H7" i="2"/>
  <c r="I7" i="2"/>
  <c r="C7" i="12"/>
  <c r="D7" i="12"/>
  <c r="E7" i="12"/>
  <c r="F7" i="12"/>
  <c r="G7" i="12"/>
  <c r="H7" i="12"/>
  <c r="I7" i="12"/>
  <c r="B7" i="11"/>
  <c r="B7" i="10"/>
  <c r="B7" i="9"/>
  <c r="B7" i="8"/>
  <c r="B7" i="7"/>
  <c r="B7" i="6"/>
  <c r="B7" i="5"/>
  <c r="B7" i="4"/>
  <c r="B7" i="3"/>
  <c r="B7" i="2"/>
  <c r="B7" i="12"/>
  <c r="B12" i="1"/>
  <c r="B8" i="1"/>
  <c r="B11" i="1"/>
  <c r="B6" i="1"/>
  <c r="B4" i="1"/>
  <c r="B2" i="1"/>
  <c r="B10" i="1"/>
  <c r="B7" i="1"/>
  <c r="B5" i="1"/>
  <c r="B9" i="1"/>
  <c r="B1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E24B07-0FFA-44AD-BEF3-9D33C56BEFAF}" keepAlive="1" name="查询 - whisper_log_last10_auto(1)_(1)" description="与工作簿中“whisper_log_last10_auto(1)_(1)”查询的连接。" type="5" refreshedVersion="8" background="1" saveData="1">
    <dbPr connection="Provider=Microsoft.Mashup.OleDb.1;Data Source=$Workbook$;Location=whisper_log_last10_auto(1)_(1);Extended Properties=&quot;&quot;" command="SELECT * FROM [whisper_log_last10_auto(1)_(1)]"/>
  </connection>
  <connection id="2" xr16:uid="{9EADF57F-DBF8-4C40-B6B8-4ABF5AE10282}" keepAlive="1" name="查询 - whisper_log_last11_auto(1)_(1)" description="与工作簿中“whisper_log_last11_auto(1)_(1)”查询的连接。" type="5" refreshedVersion="8" background="1" saveData="1">
    <dbPr connection="Provider=Microsoft.Mashup.OleDb.1;Data Source=$Workbook$;Location=whisper_log_last11_auto(1)_(1);Extended Properties=&quot;&quot;" command="SELECT * FROM [whisper_log_last11_auto(1)_(1)]"/>
  </connection>
  <connection id="3" xr16:uid="{45CD00CB-364C-4594-A31E-D5E3B8D6F802}" keepAlive="1" name="查询 - whisper_log_last12_auto(1)_ (2)" description="与工作簿中“whisper_log_last12_auto(1)_ (2)”查询的连接。" type="5" refreshedVersion="8" background="1" saveData="1">
    <dbPr connection="Provider=Microsoft.Mashup.OleDb.1;Data Source=$Workbook$;Location=&quot;whisper_log_last12_auto(1)_ (2)&quot;;Extended Properties=&quot;&quot;" command="SELECT * FROM [whisper_log_last12_auto(1)_ (2)]"/>
  </connection>
  <connection id="4" xr16:uid="{295A9585-5D18-4169-850A-AD5A6109AB56}" keepAlive="1" name="查询 - whisper_log_last12_auto(1)_(1)" description="与工作簿中“whisper_log_last12_auto(1)_(1)”查询的连接。" type="5" refreshedVersion="8" background="1" saveData="1">
    <dbPr connection="Provider=Microsoft.Mashup.OleDb.1;Data Source=$Workbook$;Location=whisper_log_last12_auto(1)_(1);Extended Properties=&quot;&quot;" command="SELECT * FROM [whisper_log_last12_auto(1)_(1)]"/>
  </connection>
  <connection id="5" xr16:uid="{2BDBF480-927E-4EB0-80EC-2E82645A41A3}" keepAlive="1" name="查询 - whisper_log_last3_auto(1)_(1)" description="与工作簿中“whisper_log_last3_auto(1)_(1)”查询的连接。" type="5" refreshedVersion="8" background="1" saveData="1">
    <dbPr connection="Provider=Microsoft.Mashup.OleDb.1;Data Source=$Workbook$;Location=whisper_log_last3_auto(1)_(1);Extended Properties=&quot;&quot;" command="SELECT * FROM [whisper_log_last3_auto(1)_(1)]"/>
  </connection>
  <connection id="6" xr16:uid="{5DCDBA73-FFE0-40F7-87A8-0D507C60D509}" keepAlive="1" name="查询 - whisper_log_last4_auto(1)_(1)" description="与工作簿中“whisper_log_last4_auto(1)_(1)”查询的连接。" type="5" refreshedVersion="8" background="1" saveData="1">
    <dbPr connection="Provider=Microsoft.Mashup.OleDb.1;Data Source=$Workbook$;Location=whisper_log_last4_auto(1)_(1);Extended Properties=&quot;&quot;" command="SELECT * FROM [whisper_log_last4_auto(1)_(1)]"/>
  </connection>
  <connection id="7" xr16:uid="{F10EE2EE-CAC5-4524-BFD2-2A1901CA2325}" keepAlive="1" name="查询 - whisper_log_last5_auto(1)_(1)" description="与工作簿中“whisper_log_last5_auto(1)_(1)”查询的连接。" type="5" refreshedVersion="8" background="1" saveData="1">
    <dbPr connection="Provider=Microsoft.Mashup.OleDb.1;Data Source=$Workbook$;Location=whisper_log_last5_auto(1)_(1);Extended Properties=&quot;&quot;" command="SELECT * FROM [whisper_log_last5_auto(1)_(1)]"/>
  </connection>
  <connection id="8" xr16:uid="{5DA4AE74-A8A1-4ECA-A538-7A71B8C0BC55}" keepAlive="1" name="查询 - whisper_log_last6_auto(1)_(1)" description="与工作簿中“whisper_log_last6_auto(1)_(1)”查询的连接。" type="5" refreshedVersion="8" background="1" saveData="1">
    <dbPr connection="Provider=Microsoft.Mashup.OleDb.1;Data Source=$Workbook$;Location=whisper_log_last6_auto(1)_(1);Extended Properties=&quot;&quot;" command="SELECT * FROM [whisper_log_last6_auto(1)_(1)]"/>
  </connection>
  <connection id="9" xr16:uid="{ABA76EEC-3F44-4A9F-8252-E8CC4D20BD22}" keepAlive="1" name="查询 - whisper_log_last7_auto(1)_(1)" description="与工作簿中“whisper_log_last7_auto(1)_(1)”查询的连接。" type="5" refreshedVersion="8" background="1" saveData="1">
    <dbPr connection="Provider=Microsoft.Mashup.OleDb.1;Data Source=$Workbook$;Location=whisper_log_last7_auto(1)_(1);Extended Properties=&quot;&quot;" command="SELECT * FROM [whisper_log_last7_auto(1)_(1)]"/>
  </connection>
  <connection id="10" xr16:uid="{FCB9F750-DA15-401A-8A50-5B9F3C3721D2}" keepAlive="1" name="查询 - whisper_log_last8_auto(1)_(1)" description="与工作簿中“whisper_log_last8_auto(1)_(1)”查询的连接。" type="5" refreshedVersion="8" background="1" saveData="1">
    <dbPr connection="Provider=Microsoft.Mashup.OleDb.1;Data Source=$Workbook$;Location=whisper_log_last8_auto(1)_(1);Extended Properties=&quot;&quot;" command="SELECT * FROM [whisper_log_last8_auto(1)_(1)]"/>
  </connection>
  <connection id="11" xr16:uid="{4D2F6A27-D894-4741-B17C-250A4C27CD6B}" keepAlive="1" name="查询 - whisper_log_last9_auto(1)_(1)" description="与工作簿中“whisper_log_last9_auto(1)_(1)”查询的连接。" type="5" refreshedVersion="8" background="1" saveData="1">
    <dbPr connection="Provider=Microsoft.Mashup.OleDb.1;Data Source=$Workbook$;Location=whisper_log_last9_auto(1)_(1);Extended Properties=&quot;&quot;" command="SELECT * FROM [whisper_log_last9_auto(1)_(1)]"/>
  </connection>
  <connection id="12" xr16:uid="{1FDAAF5D-925C-4877-A173-F30A9E35E5E5}" keepAlive="1" name="查询 - whisper_single12_log_auto(1)_(1)" description="与工作簿中“whisper_single12_log_auto(1)_(1)”查询的连接。" type="5" refreshedVersion="8" background="1" saveData="1">
    <dbPr connection="Provider=Microsoft.Mashup.OleDb.1;Data Source=$Workbook$;Location=whisper_single12_log_auto(1)_(1);Extended Properties=&quot;&quot;" command="SELECT * FROM [whisper_single12_log_auto(1)_(1)]"/>
  </connection>
</connections>
</file>

<file path=xl/sharedStrings.xml><?xml version="1.0" encoding="utf-8"?>
<sst xmlns="http://schemas.openxmlformats.org/spreadsheetml/2006/main" count="108" uniqueCount="9">
  <si>
    <t>seed</t>
  </si>
  <si>
    <t>acc_test</t>
  </si>
  <si>
    <t>f1</t>
  </si>
  <si>
    <t>precision</t>
  </si>
  <si>
    <t>recall</t>
  </si>
  <si>
    <t>acc_test_vote</t>
  </si>
  <si>
    <t>f1_vote</t>
  </si>
  <si>
    <t>precision_vote</t>
  </si>
  <si>
    <t>recall_vote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</si>
</sst>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0.89075630252100846</c:v>
                </c:pt>
                <c:pt idx="1">
                  <c:v>0.90420168067226891</c:v>
                </c:pt>
                <c:pt idx="2">
                  <c:v>0.9008403361344538</c:v>
                </c:pt>
                <c:pt idx="3">
                  <c:v>0.90756302521008403</c:v>
                </c:pt>
                <c:pt idx="4">
                  <c:v>0.91092436974789914</c:v>
                </c:pt>
                <c:pt idx="5">
                  <c:v>0.9008403361344538</c:v>
                </c:pt>
                <c:pt idx="6">
                  <c:v>0.90252100840336136</c:v>
                </c:pt>
                <c:pt idx="7">
                  <c:v>0.88739495798319334</c:v>
                </c:pt>
                <c:pt idx="8">
                  <c:v>0.8890756302521009</c:v>
                </c:pt>
                <c:pt idx="9">
                  <c:v>0.90756302521008403</c:v>
                </c:pt>
                <c:pt idx="10">
                  <c:v>0.89075630252100846</c:v>
                </c:pt>
                <c:pt idx="11">
                  <c:v>0.91596638655462181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83-4542-9A75-B9E608BF7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116463"/>
        <c:axId val="1337003216"/>
      </c:lineChart>
      <c:catAx>
        <c:axId val="293116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003216"/>
        <c:crosses val="autoZero"/>
        <c:auto val="1"/>
        <c:lblAlgn val="ctr"/>
        <c:lblOffset val="100"/>
        <c:noMultiLvlLbl val="0"/>
      </c:catAx>
      <c:valAx>
        <c:axId val="1337003216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311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5</xdr:row>
      <xdr:rowOff>136525</xdr:rowOff>
    </xdr:from>
    <xdr:to>
      <xdr:col>9</xdr:col>
      <xdr:colOff>450850</xdr:colOff>
      <xdr:row>21</xdr:row>
      <xdr:rowOff>34925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5989ABD-9B20-D672-B11A-3D1310910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DE9A3F26-731D-4904-8302-D55C8470AB75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4985C07F-1724-4592-9734-A4F5A2430D8D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" xr16:uid="{669F6AEC-57E3-4573-BE53-BF99FFBF6B66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64688699-CD35-43D6-A846-544B1B802696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EF05B7F6-348F-4477-89E2-732F78941A73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5DA580DA-0C00-47AA-B95F-D62A20EACE58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9CB131C8-8CAF-4259-8549-7B90581E9DCA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895C65F7-9766-4A0E-8C14-33ADCAC75623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C18B9399-1558-4CB0-947D-AD2082B05DF8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CBAA254-1E2F-44F7-A35E-AFFA773BA42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EAD4560-301F-4E96-893D-1717FD44967A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2AED868F-EC7E-4EFA-A2EA-661E5D338D9A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0380B0-1044-4234-8E04-2B299ED8585B}" name="whisper_log_last12_auto_1____2" displayName="whisper_log_last12_auto_1____2" ref="A1:I6" tableType="queryTable" totalsRowShown="0">
  <autoFilter ref="A1:I6" xr:uid="{C40380B0-1044-4234-8E04-2B299ED8585B}"/>
  <tableColumns count="9">
    <tableColumn id="1" xr3:uid="{9AD313F8-96F4-48EB-880E-A1F9C633E3A8}" uniqueName="1" name="seed" queryTableFieldId="1"/>
    <tableColumn id="2" xr3:uid="{D8764DD4-0AF8-425F-AA1C-2330B73DE702}" uniqueName="2" name="acc_test" queryTableFieldId="2"/>
    <tableColumn id="3" xr3:uid="{EE5822C5-3C64-46C1-B4E0-BA04712A422C}" uniqueName="3" name="f1" queryTableFieldId="3"/>
    <tableColumn id="4" xr3:uid="{5C7F9CDE-08CE-40F4-944D-DE1BC5B63ED7}" uniqueName="4" name="precision" queryTableFieldId="4"/>
    <tableColumn id="5" xr3:uid="{C552E65E-A635-48E2-8006-66AFD47A1B54}" uniqueName="5" name="recall" queryTableFieldId="5"/>
    <tableColumn id="6" xr3:uid="{A2B425CE-EC82-49D5-A466-9757B6910703}" uniqueName="6" name="acc_test_vote" queryTableFieldId="6"/>
    <tableColumn id="7" xr3:uid="{FFE1780A-BE3B-45E3-BD11-7B37F6489A7B}" uniqueName="7" name="f1_vote" queryTableFieldId="7"/>
    <tableColumn id="8" xr3:uid="{8707EC04-E7C7-48B5-9013-194B6F8BD4DF}" uniqueName="8" name="precision_vote" queryTableFieldId="8"/>
    <tableColumn id="9" xr3:uid="{4A776DF8-E7E9-48F7-8C43-1DA99268AF5E}" uniqueName="9" name="recall_vot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09E1E3-D069-4770-8B3C-DC15F80AF254}" name="whisper_log_last11_auto_1___1" displayName="whisper_log_last11_auto_1___1" ref="A1:I6" tableType="queryTable" totalsRowShown="0">
  <autoFilter ref="A1:I6" xr:uid="{1409E1E3-D069-4770-8B3C-DC15F80AF254}"/>
  <tableColumns count="9">
    <tableColumn id="1" xr3:uid="{BC9EE2E6-A4CD-4D69-96BF-66196B102A46}" uniqueName="1" name="seed" queryTableFieldId="1"/>
    <tableColumn id="2" xr3:uid="{2C4ED4F8-D671-43D7-86BD-5B8EA370BF99}" uniqueName="2" name="acc_test" queryTableFieldId="2"/>
    <tableColumn id="3" xr3:uid="{A8E2196F-4BA9-4BF5-8643-B88492755816}" uniqueName="3" name="f1" queryTableFieldId="3"/>
    <tableColumn id="4" xr3:uid="{6FB636D2-D967-4F72-A77D-6942EB01E6EE}" uniqueName="4" name="precision" queryTableFieldId="4"/>
    <tableColumn id="5" xr3:uid="{4B872BF3-B703-473B-971D-19CD59EBA7BA}" uniqueName="5" name="recall" queryTableFieldId="5"/>
    <tableColumn id="6" xr3:uid="{2BC0AF73-770A-4A57-99A8-641B51B48F75}" uniqueName="6" name="acc_test_vote" queryTableFieldId="6"/>
    <tableColumn id="7" xr3:uid="{6AA33C33-5947-494E-8BA0-F60B895D029E}" uniqueName="7" name="f1_vote" queryTableFieldId="7"/>
    <tableColumn id="8" xr3:uid="{87E18E53-A503-4E08-8DA4-974EE02336C6}" uniqueName="8" name="precision_vote" queryTableFieldId="8"/>
    <tableColumn id="9" xr3:uid="{35183F53-DEFB-44C1-9593-3077B50F18F7}" uniqueName="9" name="recall_vot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50F94C-E232-4EC1-805E-F2D5DE378B7C}" name="whisper_log_last10_auto_1___1" displayName="whisper_log_last10_auto_1___1" ref="A1:I6" tableType="queryTable" totalsRowShown="0">
  <autoFilter ref="A1:I6" xr:uid="{3250F94C-E232-4EC1-805E-F2D5DE378B7C}"/>
  <tableColumns count="9">
    <tableColumn id="1" xr3:uid="{07B3D0D6-6CE1-40B2-A147-D196F8061D36}" uniqueName="1" name="seed" queryTableFieldId="1"/>
    <tableColumn id="2" xr3:uid="{216FD8E3-2E60-4939-B11E-DB5083E224C1}" uniqueName="2" name="acc_test" queryTableFieldId="2"/>
    <tableColumn id="3" xr3:uid="{06753AFE-40EF-4FD1-A666-9E0EA4899B33}" uniqueName="3" name="f1" queryTableFieldId="3"/>
    <tableColumn id="4" xr3:uid="{EB9C4771-3C30-478C-B248-2684B3793A27}" uniqueName="4" name="precision" queryTableFieldId="4"/>
    <tableColumn id="5" xr3:uid="{522979E4-A5B1-42B0-AE0A-0889A172B701}" uniqueName="5" name="recall" queryTableFieldId="5"/>
    <tableColumn id="6" xr3:uid="{B304BB3D-BC25-4DC1-BE27-CB29EE0EB873}" uniqueName="6" name="acc_test_vote" queryTableFieldId="6"/>
    <tableColumn id="7" xr3:uid="{A47D4A4E-CE82-4C4B-BC49-351DAB8A84AC}" uniqueName="7" name="f1_vote" queryTableFieldId="7"/>
    <tableColumn id="8" xr3:uid="{93EC52EB-8AC7-494C-B8E3-33E1E7746DA7}" uniqueName="8" name="precision_vote" queryTableFieldId="8"/>
    <tableColumn id="9" xr3:uid="{D3963F1F-3562-4F56-BFC7-D46F710ECAB2}" uniqueName="9" name="recall_vot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837723-E604-49D0-9618-B5935CE7B983}" name="whisper_log_last9_auto_1___1" displayName="whisper_log_last9_auto_1___1" ref="A1:I6" tableType="queryTable" totalsRowShown="0">
  <autoFilter ref="A1:I6" xr:uid="{3F837723-E604-49D0-9618-B5935CE7B983}"/>
  <tableColumns count="9">
    <tableColumn id="1" xr3:uid="{D62F06AD-ECA3-4D1F-8931-155F790D34C1}" uniqueName="1" name="seed" queryTableFieldId="1"/>
    <tableColumn id="2" xr3:uid="{56C68258-A5E0-4B3C-A009-073FF7C10134}" uniqueName="2" name="acc_test" queryTableFieldId="2"/>
    <tableColumn id="3" xr3:uid="{E21A7FEF-6B18-4A4A-A15A-1280BA5B9557}" uniqueName="3" name="f1" queryTableFieldId="3"/>
    <tableColumn id="4" xr3:uid="{41C334E6-8332-4D07-994D-F1171BD555AA}" uniqueName="4" name="precision" queryTableFieldId="4"/>
    <tableColumn id="5" xr3:uid="{2692B235-85CD-427F-868C-1E8EB8CC67D7}" uniqueName="5" name="recall" queryTableFieldId="5"/>
    <tableColumn id="6" xr3:uid="{7231CA0D-2CDB-4458-ACA5-B8E6385FA99E}" uniqueName="6" name="acc_test_vote" queryTableFieldId="6"/>
    <tableColumn id="7" xr3:uid="{19F881CD-4C5E-4AC8-86A4-B6CCB0730385}" uniqueName="7" name="f1_vote" queryTableFieldId="7"/>
    <tableColumn id="8" xr3:uid="{78862DBF-76C2-4E0B-B428-B51B58F671FB}" uniqueName="8" name="precision_vote" queryTableFieldId="8"/>
    <tableColumn id="9" xr3:uid="{F3E9C8A7-14C2-4A04-86BA-11C3F0EA5B2C}" uniqueName="9" name="recall_vot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C9D9C0-6423-45F3-8C01-68F68B3F42C7}" name="whisper_log_last8_auto_1___1" displayName="whisper_log_last8_auto_1___1" ref="A1:I6" tableType="queryTable" totalsRowShown="0">
  <autoFilter ref="A1:I6" xr:uid="{E7C9D9C0-6423-45F3-8C01-68F68B3F42C7}"/>
  <tableColumns count="9">
    <tableColumn id="1" xr3:uid="{BD29F58E-78CB-45C2-8D18-D541E58F06A8}" uniqueName="1" name="seed" queryTableFieldId="1"/>
    <tableColumn id="2" xr3:uid="{A2687E94-9996-438A-91C6-A04CEA31FDBD}" uniqueName="2" name="acc_test" queryTableFieldId="2"/>
    <tableColumn id="3" xr3:uid="{0737F3AB-DE43-4143-B8DB-C42F891C1F79}" uniqueName="3" name="f1" queryTableFieldId="3"/>
    <tableColumn id="4" xr3:uid="{7097B1D8-3A64-4D70-9043-AE70E3354CBC}" uniqueName="4" name="precision" queryTableFieldId="4"/>
    <tableColumn id="5" xr3:uid="{295C7250-68E2-40AD-880C-60837BD8D858}" uniqueName="5" name="recall" queryTableFieldId="5"/>
    <tableColumn id="6" xr3:uid="{CC7A516E-C362-400C-B85C-354A1A90E006}" uniqueName="6" name="acc_test_vote" queryTableFieldId="6"/>
    <tableColumn id="7" xr3:uid="{BF51431F-13AE-472B-8133-FDD47E2E0313}" uniqueName="7" name="f1_vote" queryTableFieldId="7"/>
    <tableColumn id="8" xr3:uid="{EC6A593E-E121-4984-987C-6222F99B9C9F}" uniqueName="8" name="precision_vote" queryTableFieldId="8"/>
    <tableColumn id="9" xr3:uid="{82BF3B3F-0069-4338-918C-9E4FE3A6AC33}" uniqueName="9" name="recall_vot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5D902A-00F0-445E-AAFC-140E2F15A9A4}" name="whisper_log_last7_auto_1___1" displayName="whisper_log_last7_auto_1___1" ref="A1:I6" tableType="queryTable" totalsRowShown="0">
  <autoFilter ref="A1:I6" xr:uid="{C15D902A-00F0-445E-AAFC-140E2F15A9A4}"/>
  <tableColumns count="9">
    <tableColumn id="1" xr3:uid="{D66EDC8A-1B98-4765-966A-ACF7E2F9E19C}" uniqueName="1" name="seed" queryTableFieldId="1"/>
    <tableColumn id="2" xr3:uid="{2816C97A-4B85-4A95-84E7-66B4F9186831}" uniqueName="2" name="acc_test" queryTableFieldId="2"/>
    <tableColumn id="3" xr3:uid="{FD85AC24-A85C-49BC-A74C-3FA1751DDABB}" uniqueName="3" name="f1" queryTableFieldId="3"/>
    <tableColumn id="4" xr3:uid="{F3500D99-73FF-4BF6-98FA-EE8335402B1B}" uniqueName="4" name="precision" queryTableFieldId="4"/>
    <tableColumn id="5" xr3:uid="{E4326D0A-B5EC-4794-9D17-5B0C598E37A3}" uniqueName="5" name="recall" queryTableFieldId="5"/>
    <tableColumn id="6" xr3:uid="{A3E9C3A4-426F-4FCC-B93F-D0B26BC44C18}" uniqueName="6" name="acc_test_vote" queryTableFieldId="6"/>
    <tableColumn id="7" xr3:uid="{A13A3D97-6791-49C0-82D4-F14D58740313}" uniqueName="7" name="f1_vote" queryTableFieldId="7"/>
    <tableColumn id="8" xr3:uid="{2F356118-BE22-4A05-B2EB-7A9973718678}" uniqueName="8" name="precision_vote" queryTableFieldId="8"/>
    <tableColumn id="9" xr3:uid="{791457ED-F851-4191-A6A8-AD48A91163A3}" uniqueName="9" name="recall_vot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D3B95A-112B-4686-AB2C-D6B472BD6FD8}" name="whisper_log_last6_auto_1___1" displayName="whisper_log_last6_auto_1___1" ref="A1:I6" tableType="queryTable" totalsRowShown="0">
  <autoFilter ref="A1:I6" xr:uid="{A1D3B95A-112B-4686-AB2C-D6B472BD6FD8}"/>
  <tableColumns count="9">
    <tableColumn id="1" xr3:uid="{1B560B1C-3391-47FC-BB8C-A7AE9EC0B248}" uniqueName="1" name="seed" queryTableFieldId="1"/>
    <tableColumn id="2" xr3:uid="{498D2ACD-CB4E-4E92-AF72-F61CDE9F5A38}" uniqueName="2" name="acc_test" queryTableFieldId="2"/>
    <tableColumn id="3" xr3:uid="{7D8026EA-8AA1-4352-8587-8EA5224CFF27}" uniqueName="3" name="f1" queryTableFieldId="3"/>
    <tableColumn id="4" xr3:uid="{BFB68621-5C07-4396-86E9-0957CAF9C7E8}" uniqueName="4" name="precision" queryTableFieldId="4"/>
    <tableColumn id="5" xr3:uid="{34BC79DD-AB9F-4245-BBB7-0EDF35D4489D}" uniqueName="5" name="recall" queryTableFieldId="5"/>
    <tableColumn id="6" xr3:uid="{315E6033-0CAA-4535-BF0A-AA519A71C3BF}" uniqueName="6" name="acc_test_vote" queryTableFieldId="6"/>
    <tableColumn id="7" xr3:uid="{89487C6F-8A65-48BD-9F45-E5B30C173554}" uniqueName="7" name="f1_vote" queryTableFieldId="7"/>
    <tableColumn id="8" xr3:uid="{4229CEBB-D5DB-4F49-A5B6-44B7DF060688}" uniqueName="8" name="precision_vote" queryTableFieldId="8"/>
    <tableColumn id="9" xr3:uid="{56105178-ED95-4DD1-87CC-1737E5269D18}" uniqueName="9" name="recall_vot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AE942D-75E2-40AF-A547-2D47F7512AEB}" name="whisper_log_last5_auto_1___1" displayName="whisper_log_last5_auto_1___1" ref="A1:I6" tableType="queryTable" totalsRowShown="0">
  <autoFilter ref="A1:I6" xr:uid="{75AE942D-75E2-40AF-A547-2D47F7512AEB}"/>
  <tableColumns count="9">
    <tableColumn id="1" xr3:uid="{AB2E7DAA-ABA1-42A8-9394-F26E67D4D02A}" uniqueName="1" name="seed" queryTableFieldId="1"/>
    <tableColumn id="2" xr3:uid="{552F0CED-D9DA-4221-BE41-3AF2063FEACD}" uniqueName="2" name="acc_test" queryTableFieldId="2"/>
    <tableColumn id="3" xr3:uid="{6C90DA15-25D3-4A43-B211-17B6199954E0}" uniqueName="3" name="f1" queryTableFieldId="3"/>
    <tableColumn id="4" xr3:uid="{D938BE53-A9E3-45A6-B6A7-01236944705E}" uniqueName="4" name="precision" queryTableFieldId="4"/>
    <tableColumn id="5" xr3:uid="{8B099F5A-1B07-4A3A-B93A-CEB3C333984B}" uniqueName="5" name="recall" queryTableFieldId="5"/>
    <tableColumn id="6" xr3:uid="{D7C5D3B9-EB10-4D0E-8305-36CE9D94A1BB}" uniqueName="6" name="acc_test_vote" queryTableFieldId="6"/>
    <tableColumn id="7" xr3:uid="{8CA1198F-53D7-4F89-AAE3-0AC95A446BFE}" uniqueName="7" name="f1_vote" queryTableFieldId="7"/>
    <tableColumn id="8" xr3:uid="{189BB4A4-CDE3-49B6-B179-7333876E35F8}" uniqueName="8" name="precision_vote" queryTableFieldId="8"/>
    <tableColumn id="9" xr3:uid="{BA9A6CCC-9C3F-4C20-BC09-5283253A1827}" uniqueName="9" name="recall_vot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10E963-C8BF-4695-9AD0-2ABA181C7CB4}" name="whisper_log_last4_auto_1___1" displayName="whisper_log_last4_auto_1___1" ref="A1:I6" tableType="queryTable" totalsRowShown="0">
  <autoFilter ref="A1:I6" xr:uid="{5C10E963-C8BF-4695-9AD0-2ABA181C7CB4}"/>
  <tableColumns count="9">
    <tableColumn id="1" xr3:uid="{DDEDC213-83E0-442E-A63F-8F11EBB0A08D}" uniqueName="1" name="seed" queryTableFieldId="1"/>
    <tableColumn id="2" xr3:uid="{D647E85B-F595-47F8-80CF-81ECD1DE5DF2}" uniqueName="2" name="acc_test" queryTableFieldId="2"/>
    <tableColumn id="3" xr3:uid="{DCA7FCEE-17AA-486F-AB81-1C9DDA6B7307}" uniqueName="3" name="f1" queryTableFieldId="3"/>
    <tableColumn id="4" xr3:uid="{0B48C685-A9EC-4FEB-A66A-239B1E76AF13}" uniqueName="4" name="precision" queryTableFieldId="4"/>
    <tableColumn id="5" xr3:uid="{E2BA25F1-0D71-48BE-A3EB-1089982BB6CC}" uniqueName="5" name="recall" queryTableFieldId="5"/>
    <tableColumn id="6" xr3:uid="{1A8BFC02-66A9-4C6F-98F1-8800DCE159B5}" uniqueName="6" name="acc_test_vote" queryTableFieldId="6"/>
    <tableColumn id="7" xr3:uid="{FC8FD6A1-0606-46A7-82C6-FFAAB941F3FB}" uniqueName="7" name="f1_vote" queryTableFieldId="7"/>
    <tableColumn id="8" xr3:uid="{0FCAC697-0897-4211-BAE0-111B95759C5F}" uniqueName="8" name="precision_vote" queryTableFieldId="8"/>
    <tableColumn id="9" xr3:uid="{B8DDC6E5-CD40-4070-A8F7-8F4F2559216D}" uniqueName="9" name="recall_vot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E7BF4-C963-4DFD-8363-A2A84D927CF5}" name="whisper_log_last3_auto_1___1" displayName="whisper_log_last3_auto_1___1" ref="A1:I6" tableType="queryTable" totalsRowShown="0">
  <autoFilter ref="A1:I6" xr:uid="{B5FE7BF4-C963-4DFD-8363-A2A84D927CF5}"/>
  <tableColumns count="9">
    <tableColumn id="1" xr3:uid="{69AB1A56-2573-4434-91AC-844A311284FF}" uniqueName="1" name="seed" queryTableFieldId="1"/>
    <tableColumn id="2" xr3:uid="{CD7BE43B-7A0B-41A4-A8F9-03FD8020BD67}" uniqueName="2" name="acc_test" queryTableFieldId="2"/>
    <tableColumn id="3" xr3:uid="{621C8908-05EF-4418-9A94-6DCBD2016FD8}" uniqueName="3" name="f1" queryTableFieldId="3"/>
    <tableColumn id="4" xr3:uid="{0BBE3850-F89F-4906-8EE5-DDBB56550E03}" uniqueName="4" name="precision" queryTableFieldId="4"/>
    <tableColumn id="5" xr3:uid="{8F4172A9-EC9A-4D92-B39D-CAC5B6E121E0}" uniqueName="5" name="recall" queryTableFieldId="5"/>
    <tableColumn id="6" xr3:uid="{26B36467-2189-4868-BF9A-62D7A5B21019}" uniqueName="6" name="acc_test_vote" queryTableFieldId="6"/>
    <tableColumn id="7" xr3:uid="{55F17B13-36E0-412F-982A-D0D1F208C705}" uniqueName="7" name="f1_vote" queryTableFieldId="7"/>
    <tableColumn id="8" xr3:uid="{7F8B2610-EA58-47E3-BCBE-0D6F944EC147}" uniqueName="8" name="precision_vote" queryTableFieldId="8"/>
    <tableColumn id="9" xr3:uid="{78A328B7-D308-417B-9A1C-42B2E4A32A6E}" uniqueName="9" name="recall_vot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74F15-33E2-417C-83F3-9614F2AE2EB5}" name="whisper_log_last12_auto_1___1" displayName="whisper_log_last12_auto_1___1" ref="A1:I6" tableType="queryTable" totalsRowShown="0">
  <autoFilter ref="A1:I6" xr:uid="{08C74F15-33E2-417C-83F3-9614F2AE2EB5}"/>
  <tableColumns count="9">
    <tableColumn id="1" xr3:uid="{4191B605-0E31-4BFE-B450-BD6DC506AA4E}" uniqueName="1" name="seed" queryTableFieldId="1"/>
    <tableColumn id="2" xr3:uid="{1A12E993-EFDC-477E-8147-1725E0CA8525}" uniqueName="2" name="acc_test" queryTableFieldId="2"/>
    <tableColumn id="3" xr3:uid="{A18CD751-4F66-45A4-B4A7-385F01C378ED}" uniqueName="3" name="f1" queryTableFieldId="3"/>
    <tableColumn id="4" xr3:uid="{3689EB87-14EE-4A69-A0B7-BE037DFD0983}" uniqueName="4" name="precision" queryTableFieldId="4"/>
    <tableColumn id="5" xr3:uid="{A0CBFA9B-1A8C-43E6-9E50-446B7B6BE909}" uniqueName="5" name="recall" queryTableFieldId="5"/>
    <tableColumn id="6" xr3:uid="{075C60D4-9472-4B97-A5A2-3F33A15821CA}" uniqueName="6" name="acc_test_vote" queryTableFieldId="6"/>
    <tableColumn id="7" xr3:uid="{5CD4A706-F6A4-422C-A860-A6D359C60A7A}" uniqueName="7" name="f1_vote" queryTableFieldId="7"/>
    <tableColumn id="8" xr3:uid="{A9C7C9B2-D5E0-437E-B2EE-066A931DF894}" uniqueName="8" name="precision_vote" queryTableFieldId="8"/>
    <tableColumn id="9" xr3:uid="{2E1CC868-DBC4-4FD5-AED5-2C6309C6590A}" uniqueName="9" name="recall_vot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0EDFD13-44CA-4B2E-BC27-E2F2A798A2FF}" name="whisper_single12_log_auto_1___1" displayName="whisper_single12_log_auto_1___1" ref="A1:I7" tableType="queryTable" totalsRowCount="1">
  <autoFilter ref="A1:I6" xr:uid="{20EDFD13-44CA-4B2E-BC27-E2F2A798A2FF}"/>
  <tableColumns count="9">
    <tableColumn id="1" xr3:uid="{993ED145-00C2-4179-B71D-BE5B0B67D01B}" uniqueName="1" name="seed" queryTableFieldId="1"/>
    <tableColumn id="2" xr3:uid="{9494A0FC-72B3-4F35-BA2D-0912AB1207D5}" uniqueName="2" name="acc_test" totalsRowFunction="average" queryTableFieldId="2"/>
    <tableColumn id="3" xr3:uid="{1FAC4EE6-1352-42C8-AC3F-E1A83870630E}" uniqueName="3" name="f1" totalsRowFunction="average" queryTableFieldId="3"/>
    <tableColumn id="4" xr3:uid="{3353441B-D02C-44D8-A569-F77A4594380C}" uniqueName="4" name="precision" totalsRowFunction="average" queryTableFieldId="4"/>
    <tableColumn id="5" xr3:uid="{B3730B62-2184-479F-A086-1E368B5B1932}" uniqueName="5" name="recall" totalsRowFunction="average" queryTableFieldId="5"/>
    <tableColumn id="6" xr3:uid="{3FBAF025-5009-4679-B03C-CFD431FAB01C}" uniqueName="6" name="acc_test_vote" totalsRowFunction="average" queryTableFieldId="6"/>
    <tableColumn id="7" xr3:uid="{23178797-FBA7-4C60-A770-E36DC3B0D181}" uniqueName="7" name="f1_vote" totalsRowFunction="average" queryTableFieldId="7"/>
    <tableColumn id="8" xr3:uid="{BD1EC550-57E0-4822-92D2-3A6C2150D446}" uniqueName="8" name="precision_vote" totalsRowFunction="average" queryTableFieldId="8"/>
    <tableColumn id="9" xr3:uid="{2617B06F-2BC7-4B5F-BAB2-4163D85BDC28}" uniqueName="9" name="recall_vote" totalsRowFunction="averag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7385-6901-4FA8-A9B0-C0828F16552E}">
  <dimension ref="A1:I7"/>
  <sheetViews>
    <sheetView topLeftCell="C1"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0.86554621848739499</v>
      </c>
      <c r="C2">
        <v>0.89743589743589747</v>
      </c>
      <c r="D2">
        <v>0.85365853658536583</v>
      </c>
      <c r="E2">
        <v>0.94594594594594605</v>
      </c>
      <c r="F2">
        <v>0.87394957983193278</v>
      </c>
      <c r="G2">
        <v>0.90322580645161277</v>
      </c>
      <c r="H2">
        <v>0.86419753086419748</v>
      </c>
      <c r="I2">
        <v>0.94594594594594605</v>
      </c>
    </row>
    <row r="3" spans="1:9" x14ac:dyDescent="0.3">
      <c r="A3">
        <v>1002</v>
      </c>
      <c r="B3">
        <v>0.88235294117647056</v>
      </c>
      <c r="C3">
        <v>0.90909090909090917</v>
      </c>
      <c r="D3">
        <v>0.875</v>
      </c>
      <c r="E3">
        <v>0.94594594594594605</v>
      </c>
      <c r="F3">
        <v>0.89075630252100846</v>
      </c>
      <c r="G3">
        <v>0.91503267973856195</v>
      </c>
      <c r="H3">
        <v>0.88607594936708856</v>
      </c>
      <c r="I3">
        <v>0.94594594594594605</v>
      </c>
    </row>
    <row r="4" spans="1:9" x14ac:dyDescent="0.3">
      <c r="A4">
        <v>1003</v>
      </c>
      <c r="B4">
        <v>0.89915966386554624</v>
      </c>
      <c r="C4">
        <v>0.92207792207792205</v>
      </c>
      <c r="D4">
        <v>0.88749999999999996</v>
      </c>
      <c r="E4">
        <v>0.95945945945945943</v>
      </c>
      <c r="F4">
        <v>0.90756302521008403</v>
      </c>
      <c r="G4">
        <v>0.92810457516339884</v>
      </c>
      <c r="H4">
        <v>0.89873417721518989</v>
      </c>
      <c r="I4">
        <v>0.95945945945945943</v>
      </c>
    </row>
    <row r="5" spans="1:9" x14ac:dyDescent="0.3">
      <c r="A5">
        <v>1004</v>
      </c>
      <c r="B5">
        <v>0.89075630252100846</v>
      </c>
      <c r="C5">
        <v>0.91503267973856195</v>
      </c>
      <c r="D5">
        <v>0.88607594936708856</v>
      </c>
      <c r="E5">
        <v>0.94594594594594605</v>
      </c>
      <c r="F5">
        <v>0.89075630252100846</v>
      </c>
      <c r="G5">
        <v>0.91503267973856195</v>
      </c>
      <c r="H5">
        <v>0.88607594936708856</v>
      </c>
      <c r="I5">
        <v>0.94594594594594605</v>
      </c>
    </row>
    <row r="6" spans="1:9" x14ac:dyDescent="0.3">
      <c r="A6">
        <v>1005</v>
      </c>
      <c r="B6">
        <v>0.87394957983193278</v>
      </c>
      <c r="C6">
        <v>0.89795918367346939</v>
      </c>
      <c r="D6">
        <v>0.90410958904109584</v>
      </c>
      <c r="E6">
        <v>0.89189189189189189</v>
      </c>
      <c r="F6">
        <v>0.89075630252100846</v>
      </c>
      <c r="G6">
        <v>0.91034482758620694</v>
      </c>
      <c r="H6">
        <v>0.92957746478873238</v>
      </c>
      <c r="I6">
        <v>0.89189189189189189</v>
      </c>
    </row>
    <row r="7" spans="1:9" x14ac:dyDescent="0.3">
      <c r="B7">
        <f>AVERAGE(B2:B6)</f>
        <v>0.88235294117647067</v>
      </c>
      <c r="C7">
        <f t="shared" ref="C7:I7" si="0">AVERAGE(C2:C6)</f>
        <v>0.90831931840335189</v>
      </c>
      <c r="D7">
        <f t="shared" si="0"/>
        <v>0.88126881499871002</v>
      </c>
      <c r="E7">
        <f t="shared" si="0"/>
        <v>0.93783783783783792</v>
      </c>
      <c r="F7">
        <f t="shared" si="0"/>
        <v>0.89075630252100846</v>
      </c>
      <c r="G7">
        <f t="shared" si="0"/>
        <v>0.91434811373566838</v>
      </c>
      <c r="H7">
        <f t="shared" si="0"/>
        <v>0.89293221432045944</v>
      </c>
      <c r="I7">
        <f t="shared" si="0"/>
        <v>0.93783783783783792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2F33-2DFA-4722-9329-9F99EA1510AC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0.90756302521008403</v>
      </c>
      <c r="C2">
        <v>0.92810457516339884</v>
      </c>
      <c r="D2">
        <v>0.89873417721518989</v>
      </c>
      <c r="E2">
        <v>0.95945945945945943</v>
      </c>
      <c r="F2">
        <v>0.90756302521008403</v>
      </c>
      <c r="G2">
        <v>0.92810457516339884</v>
      </c>
      <c r="H2">
        <v>0.89873417721518989</v>
      </c>
      <c r="I2">
        <v>0.95945945945945943</v>
      </c>
    </row>
    <row r="3" spans="1:9" x14ac:dyDescent="0.3">
      <c r="A3">
        <v>1002</v>
      </c>
      <c r="B3">
        <v>0.89915966386554624</v>
      </c>
      <c r="C3">
        <v>0.92307692307692324</v>
      </c>
      <c r="D3">
        <v>0.87804878048780488</v>
      </c>
      <c r="E3">
        <v>0.97297297297297303</v>
      </c>
      <c r="F3">
        <v>0.89915966386554624</v>
      </c>
      <c r="G3">
        <v>0.92307692307692324</v>
      </c>
      <c r="H3">
        <v>0.87804878048780488</v>
      </c>
      <c r="I3">
        <v>0.97297297297297303</v>
      </c>
    </row>
    <row r="4" spans="1:9" x14ac:dyDescent="0.3">
      <c r="A4">
        <v>1003</v>
      </c>
      <c r="B4">
        <v>0.90756302521008403</v>
      </c>
      <c r="C4">
        <v>0.92810457516339884</v>
      </c>
      <c r="D4">
        <v>0.89873417721518989</v>
      </c>
      <c r="E4">
        <v>0.95945945945945943</v>
      </c>
      <c r="F4">
        <v>0.91596638655462181</v>
      </c>
      <c r="G4">
        <v>0.93506493506493504</v>
      </c>
      <c r="H4">
        <v>0.9</v>
      </c>
      <c r="I4">
        <v>0.97297297297297303</v>
      </c>
    </row>
    <row r="5" spans="1:9" x14ac:dyDescent="0.3">
      <c r="A5">
        <v>1004</v>
      </c>
      <c r="B5">
        <v>0.89075630252100846</v>
      </c>
      <c r="C5">
        <v>0.91612903225806441</v>
      </c>
      <c r="D5">
        <v>0.87654320987654322</v>
      </c>
      <c r="E5">
        <v>0.95945945945945943</v>
      </c>
      <c r="F5">
        <v>0.89075630252100846</v>
      </c>
      <c r="G5">
        <v>0.91612903225806441</v>
      </c>
      <c r="H5">
        <v>0.87654320987654322</v>
      </c>
      <c r="I5">
        <v>0.95945945945945943</v>
      </c>
    </row>
    <row r="6" spans="1:9" x14ac:dyDescent="0.3">
      <c r="A6">
        <v>1005</v>
      </c>
      <c r="B6">
        <v>0.91596638655462181</v>
      </c>
      <c r="C6">
        <v>0.93421052631578949</v>
      </c>
      <c r="D6">
        <v>0.91025641025641024</v>
      </c>
      <c r="E6">
        <v>0.95945945945945943</v>
      </c>
      <c r="F6">
        <v>0.90756302521008403</v>
      </c>
      <c r="G6">
        <v>0.9261744966442953</v>
      </c>
      <c r="H6">
        <v>0.92</v>
      </c>
      <c r="I6">
        <v>0.93243243243243246</v>
      </c>
    </row>
    <row r="7" spans="1:9" x14ac:dyDescent="0.3">
      <c r="B7">
        <f>AVERAGE(B2:B6)</f>
        <v>0.90420168067226891</v>
      </c>
      <c r="C7">
        <f t="shared" ref="C7:I7" si="0">AVERAGE(C2:C6)</f>
        <v>0.92592512639551505</v>
      </c>
      <c r="D7">
        <f t="shared" si="0"/>
        <v>0.89246335101022767</v>
      </c>
      <c r="E7">
        <f t="shared" si="0"/>
        <v>0.96216216216216233</v>
      </c>
      <c r="F7">
        <f t="shared" si="0"/>
        <v>0.90420168067226891</v>
      </c>
      <c r="G7">
        <f t="shared" si="0"/>
        <v>0.92570999244152341</v>
      </c>
      <c r="H7">
        <f t="shared" si="0"/>
        <v>0.89466523351590754</v>
      </c>
      <c r="I7">
        <f t="shared" si="0"/>
        <v>0.95945945945945943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A6AA-1148-4A64-AE26-D44535B48A4F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0.89075630252100846</v>
      </c>
      <c r="C2">
        <v>0.91612903225806441</v>
      </c>
      <c r="D2">
        <v>0.87654320987654322</v>
      </c>
      <c r="E2">
        <v>0.95945945945945943</v>
      </c>
      <c r="F2">
        <v>0.89075630252100846</v>
      </c>
      <c r="G2">
        <v>0.91612903225806441</v>
      </c>
      <c r="H2">
        <v>0.87654320987654322</v>
      </c>
      <c r="I2">
        <v>0.95945945945945943</v>
      </c>
    </row>
    <row r="3" spans="1:9" x14ac:dyDescent="0.3">
      <c r="A3">
        <v>1002</v>
      </c>
      <c r="B3">
        <v>0.89075630252100846</v>
      </c>
      <c r="C3">
        <v>0.91503267973856195</v>
      </c>
      <c r="D3">
        <v>0.88607594936708856</v>
      </c>
      <c r="E3">
        <v>0.94594594594594605</v>
      </c>
      <c r="F3">
        <v>0.89075630252100846</v>
      </c>
      <c r="G3">
        <v>0.91503267973856195</v>
      </c>
      <c r="H3">
        <v>0.88607594936708856</v>
      </c>
      <c r="I3">
        <v>0.94594594594594605</v>
      </c>
    </row>
    <row r="4" spans="1:9" x14ac:dyDescent="0.3">
      <c r="A4">
        <v>1003</v>
      </c>
      <c r="B4">
        <v>0.9243697478991596</v>
      </c>
      <c r="C4">
        <v>0.94039735099337762</v>
      </c>
      <c r="D4">
        <v>0.92207792207792205</v>
      </c>
      <c r="E4">
        <v>0.95945945945945943</v>
      </c>
      <c r="F4">
        <v>0.93277310924369761</v>
      </c>
      <c r="G4">
        <v>0.94666666666666677</v>
      </c>
      <c r="H4">
        <v>0.9342105263157896</v>
      </c>
      <c r="I4">
        <v>0.95945945945945943</v>
      </c>
    </row>
    <row r="5" spans="1:9" x14ac:dyDescent="0.3">
      <c r="A5">
        <v>1004</v>
      </c>
      <c r="B5">
        <v>0.89075630252100846</v>
      </c>
      <c r="C5">
        <v>0.91503267973856195</v>
      </c>
      <c r="D5">
        <v>0.88607594936708856</v>
      </c>
      <c r="E5">
        <v>0.94594594594594605</v>
      </c>
      <c r="F5">
        <v>0.89915966386554624</v>
      </c>
      <c r="G5">
        <v>0.92207792207792205</v>
      </c>
      <c r="H5">
        <v>0.88749999999999996</v>
      </c>
      <c r="I5">
        <v>0.95945945945945943</v>
      </c>
    </row>
    <row r="6" spans="1:9" x14ac:dyDescent="0.3">
      <c r="A6">
        <v>1005</v>
      </c>
      <c r="B6">
        <v>0.89915966386554624</v>
      </c>
      <c r="C6">
        <v>0.92207792207792205</v>
      </c>
      <c r="D6">
        <v>0.88749999999999996</v>
      </c>
      <c r="E6">
        <v>0.95945945945945943</v>
      </c>
      <c r="F6">
        <v>0.89075630252100846</v>
      </c>
      <c r="G6">
        <v>0.91503267973856206</v>
      </c>
      <c r="H6">
        <v>0.88607594936708856</v>
      </c>
      <c r="I6">
        <v>0.94594594594594594</v>
      </c>
    </row>
    <row r="7" spans="1:9" x14ac:dyDescent="0.3">
      <c r="B7">
        <f>AVERAGE(B2:B6)</f>
        <v>0.89915966386554624</v>
      </c>
      <c r="C7">
        <f t="shared" ref="C7:I7" si="0">AVERAGE(C2:C6)</f>
        <v>0.92173393296129758</v>
      </c>
      <c r="D7">
        <f t="shared" si="0"/>
        <v>0.8916546061377284</v>
      </c>
      <c r="E7">
        <f t="shared" si="0"/>
        <v>0.95405405405405408</v>
      </c>
      <c r="F7">
        <f t="shared" si="0"/>
        <v>0.9008403361344538</v>
      </c>
      <c r="G7">
        <f t="shared" si="0"/>
        <v>0.9229877960959556</v>
      </c>
      <c r="H7">
        <f t="shared" si="0"/>
        <v>0.89408112698530195</v>
      </c>
      <c r="I7">
        <f t="shared" si="0"/>
        <v>0.95405405405405408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ECFE-3633-481A-BD8F-CF3A5E65FE60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0.89075630252100846</v>
      </c>
      <c r="C2">
        <v>0.91275167785234901</v>
      </c>
      <c r="D2">
        <v>0.90666666666666662</v>
      </c>
      <c r="E2">
        <v>0.91891891891891897</v>
      </c>
      <c r="F2">
        <v>0.89075630252100846</v>
      </c>
      <c r="G2">
        <v>0.91275167785234901</v>
      </c>
      <c r="H2">
        <v>0.90666666666666662</v>
      </c>
      <c r="I2">
        <v>0.91891891891891897</v>
      </c>
    </row>
    <row r="3" spans="1:9" x14ac:dyDescent="0.3">
      <c r="A3">
        <v>1002</v>
      </c>
      <c r="B3">
        <v>0.91596638655462181</v>
      </c>
      <c r="C3">
        <v>0.93506493506493504</v>
      </c>
      <c r="D3">
        <v>0.9</v>
      </c>
      <c r="E3">
        <v>0.97297297297297303</v>
      </c>
      <c r="F3">
        <v>0.91596638655462181</v>
      </c>
      <c r="G3">
        <v>0.93506493506493504</v>
      </c>
      <c r="H3">
        <v>0.9</v>
      </c>
      <c r="I3">
        <v>0.97297297297297303</v>
      </c>
    </row>
    <row r="4" spans="1:9" x14ac:dyDescent="0.3">
      <c r="A4">
        <v>1003</v>
      </c>
      <c r="B4">
        <v>0.91596638655462181</v>
      </c>
      <c r="C4">
        <v>0.93670886075949356</v>
      </c>
      <c r="D4">
        <v>0.88095238095238093</v>
      </c>
      <c r="E4">
        <v>1</v>
      </c>
      <c r="F4">
        <v>0.91596638655462181</v>
      </c>
      <c r="G4">
        <v>0.93670886075949356</v>
      </c>
      <c r="H4">
        <v>0.88095238095238093</v>
      </c>
      <c r="I4">
        <v>1</v>
      </c>
    </row>
    <row r="5" spans="1:9" x14ac:dyDescent="0.3">
      <c r="A5">
        <v>1004</v>
      </c>
      <c r="B5">
        <v>0.89915966386554624</v>
      </c>
      <c r="C5">
        <v>0.92207792207792205</v>
      </c>
      <c r="D5">
        <v>0.88749999999999996</v>
      </c>
      <c r="E5">
        <v>0.95945945945945943</v>
      </c>
      <c r="F5">
        <v>0.89915966386554624</v>
      </c>
      <c r="G5">
        <v>0.92207792207792205</v>
      </c>
      <c r="H5">
        <v>0.88749999999999996</v>
      </c>
      <c r="I5">
        <v>0.95945945945945943</v>
      </c>
    </row>
    <row r="6" spans="1:9" x14ac:dyDescent="0.3">
      <c r="A6">
        <v>1005</v>
      </c>
      <c r="B6">
        <v>0.90756302521008403</v>
      </c>
      <c r="C6">
        <v>0.9261744966442953</v>
      </c>
      <c r="D6">
        <v>0.92</v>
      </c>
      <c r="E6">
        <v>0.93243243243243246</v>
      </c>
      <c r="F6">
        <v>0.91596638655462181</v>
      </c>
      <c r="G6">
        <v>0.93243243243243246</v>
      </c>
      <c r="H6">
        <v>0.93243243243243246</v>
      </c>
      <c r="I6">
        <v>0.93243243243243246</v>
      </c>
    </row>
    <row r="7" spans="1:9" x14ac:dyDescent="0.3">
      <c r="B7">
        <f>AVERAGE(B2:B6)</f>
        <v>0.90588235294117647</v>
      </c>
      <c r="C7">
        <f t="shared" ref="C7:I7" si="0">AVERAGE(C2:C6)</f>
        <v>0.92655557847979897</v>
      </c>
      <c r="D7">
        <f t="shared" si="0"/>
        <v>0.89902380952380945</v>
      </c>
      <c r="E7">
        <f t="shared" si="0"/>
        <v>0.95675675675675687</v>
      </c>
      <c r="F7">
        <f t="shared" si="0"/>
        <v>0.90756302521008403</v>
      </c>
      <c r="G7">
        <f t="shared" si="0"/>
        <v>0.92780716563742638</v>
      </c>
      <c r="H7">
        <f t="shared" si="0"/>
        <v>0.90151029601029598</v>
      </c>
      <c r="I7">
        <f t="shared" si="0"/>
        <v>0.95675675675675687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0085-265D-4728-9FFF-D802CFEB884A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0.89075630252100846</v>
      </c>
      <c r="C2">
        <v>0.91503267973856195</v>
      </c>
      <c r="D2">
        <v>0.88607594936708856</v>
      </c>
      <c r="E2">
        <v>0.94594594594594605</v>
      </c>
      <c r="F2">
        <v>0.89915966386554624</v>
      </c>
      <c r="G2">
        <v>0.92105263157894723</v>
      </c>
      <c r="H2">
        <v>0.89743589743589747</v>
      </c>
      <c r="I2">
        <v>0.94594594594594605</v>
      </c>
    </row>
    <row r="3" spans="1:9" x14ac:dyDescent="0.3">
      <c r="A3">
        <v>1002</v>
      </c>
      <c r="B3">
        <v>0.89915966386554624</v>
      </c>
      <c r="C3">
        <v>0.92</v>
      </c>
      <c r="D3">
        <v>0.9078947368421052</v>
      </c>
      <c r="E3">
        <v>0.93243243243243235</v>
      </c>
      <c r="F3">
        <v>0.91596638655462181</v>
      </c>
      <c r="G3">
        <v>0.9342105263157896</v>
      </c>
      <c r="H3">
        <v>0.91025641025641024</v>
      </c>
      <c r="I3">
        <v>0.95945945945945943</v>
      </c>
    </row>
    <row r="4" spans="1:9" x14ac:dyDescent="0.3">
      <c r="A4">
        <v>1003</v>
      </c>
      <c r="B4">
        <v>0.90756302521008403</v>
      </c>
      <c r="C4">
        <v>0.92715231788079477</v>
      </c>
      <c r="D4">
        <v>0.90909090909090917</v>
      </c>
      <c r="E4">
        <v>0.94594594594594605</v>
      </c>
      <c r="F4">
        <v>0.90756302521008403</v>
      </c>
      <c r="G4">
        <v>0.92715231788079477</v>
      </c>
      <c r="H4">
        <v>0.90909090909090917</v>
      </c>
      <c r="I4">
        <v>0.94594594594594605</v>
      </c>
    </row>
    <row r="5" spans="1:9" x14ac:dyDescent="0.3">
      <c r="A5">
        <v>1004</v>
      </c>
      <c r="B5">
        <v>0.91596638655462181</v>
      </c>
      <c r="C5">
        <v>0.93333333333333324</v>
      </c>
      <c r="D5">
        <v>0.92105263157894723</v>
      </c>
      <c r="E5">
        <v>0.94594594594594605</v>
      </c>
      <c r="F5">
        <v>0.9243697478991596</v>
      </c>
      <c r="G5">
        <v>0.93959731543624159</v>
      </c>
      <c r="H5">
        <v>0.93333333333333324</v>
      </c>
      <c r="I5">
        <v>0.94594594594594605</v>
      </c>
    </row>
    <row r="6" spans="1:9" x14ac:dyDescent="0.3">
      <c r="A6">
        <v>1005</v>
      </c>
      <c r="B6">
        <v>0.89915966386554624</v>
      </c>
      <c r="C6">
        <v>0.92207792207792205</v>
      </c>
      <c r="D6">
        <v>0.88749999999999996</v>
      </c>
      <c r="E6">
        <v>0.95945945945945943</v>
      </c>
      <c r="F6">
        <v>0.90756302521008403</v>
      </c>
      <c r="G6">
        <v>0.92810457516339873</v>
      </c>
      <c r="H6">
        <v>0.89873417721518989</v>
      </c>
      <c r="I6">
        <v>0.95945945945945943</v>
      </c>
    </row>
    <row r="7" spans="1:9" x14ac:dyDescent="0.3">
      <c r="B7">
        <f>AVERAGE(B2:B6)</f>
        <v>0.90252100840336136</v>
      </c>
      <c r="C7">
        <f t="shared" ref="C7:I7" si="0">AVERAGE(C2:C6)</f>
        <v>0.92351925060612228</v>
      </c>
      <c r="D7">
        <f t="shared" si="0"/>
        <v>0.90232284537581009</v>
      </c>
      <c r="E7">
        <f t="shared" si="0"/>
        <v>0.94594594594594594</v>
      </c>
      <c r="F7">
        <f t="shared" si="0"/>
        <v>0.91092436974789914</v>
      </c>
      <c r="G7">
        <f t="shared" si="0"/>
        <v>0.93002347327503432</v>
      </c>
      <c r="H7">
        <f t="shared" si="0"/>
        <v>0.90977014546634793</v>
      </c>
      <c r="I7">
        <f t="shared" si="0"/>
        <v>0.9513513513513514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24AD-7B49-4051-8EC0-B59252250C18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0.91596638655462181</v>
      </c>
      <c r="C2">
        <v>0.93506493506493504</v>
      </c>
      <c r="D2">
        <v>0.9</v>
      </c>
      <c r="E2">
        <v>0.97297297297297303</v>
      </c>
      <c r="F2">
        <v>0.91596638655462181</v>
      </c>
      <c r="G2">
        <v>0.93506493506493504</v>
      </c>
      <c r="H2">
        <v>0.9</v>
      </c>
      <c r="I2">
        <v>0.97297297297297303</v>
      </c>
    </row>
    <row r="3" spans="1:9" x14ac:dyDescent="0.3">
      <c r="A3">
        <v>1002</v>
      </c>
      <c r="B3">
        <v>0.89075630252100846</v>
      </c>
      <c r="C3">
        <v>0.91275167785234901</v>
      </c>
      <c r="D3">
        <v>0.90666666666666662</v>
      </c>
      <c r="E3">
        <v>0.91891891891891897</v>
      </c>
      <c r="F3">
        <v>0.88235294117647056</v>
      </c>
      <c r="G3">
        <v>0.90666666666666662</v>
      </c>
      <c r="H3">
        <v>0.89473684210526316</v>
      </c>
      <c r="I3">
        <v>0.91891891891891897</v>
      </c>
    </row>
    <row r="4" spans="1:9" x14ac:dyDescent="0.3">
      <c r="A4">
        <v>1003</v>
      </c>
      <c r="B4">
        <v>0.90756302521008403</v>
      </c>
      <c r="C4">
        <v>0.92903225806451617</v>
      </c>
      <c r="D4">
        <v>0.88888888888888884</v>
      </c>
      <c r="E4">
        <v>0.97297297297297303</v>
      </c>
      <c r="F4">
        <v>0.90756302521008403</v>
      </c>
      <c r="G4">
        <v>0.92903225806451617</v>
      </c>
      <c r="H4">
        <v>0.88888888888888884</v>
      </c>
      <c r="I4">
        <v>0.97297297297297303</v>
      </c>
    </row>
    <row r="5" spans="1:9" x14ac:dyDescent="0.3">
      <c r="A5">
        <v>1004</v>
      </c>
      <c r="B5">
        <v>0.87394957983193278</v>
      </c>
      <c r="C5">
        <v>0.89932885906040272</v>
      </c>
      <c r="D5">
        <v>0.89333333333333331</v>
      </c>
      <c r="E5">
        <v>0.90540540540540537</v>
      </c>
      <c r="F5">
        <v>0.87394957983193278</v>
      </c>
      <c r="G5">
        <v>0.89932885906040272</v>
      </c>
      <c r="H5">
        <v>0.89333333333333331</v>
      </c>
      <c r="I5">
        <v>0.90540540540540537</v>
      </c>
    </row>
    <row r="6" spans="1:9" x14ac:dyDescent="0.3">
      <c r="A6">
        <v>1005</v>
      </c>
      <c r="B6">
        <v>0.91596638655462181</v>
      </c>
      <c r="C6">
        <v>0.93333333333333335</v>
      </c>
      <c r="D6">
        <v>0.92105263157894735</v>
      </c>
      <c r="E6">
        <v>0.94594594594594594</v>
      </c>
      <c r="F6">
        <v>0.92436974789915971</v>
      </c>
      <c r="G6">
        <v>0.93959731543624159</v>
      </c>
      <c r="H6">
        <v>0.93333333333333335</v>
      </c>
      <c r="I6">
        <v>0.94594594594594594</v>
      </c>
    </row>
    <row r="7" spans="1:9" x14ac:dyDescent="0.3">
      <c r="B7">
        <f>AVERAGE(B2:B6)</f>
        <v>0.9008403361344538</v>
      </c>
      <c r="C7">
        <f t="shared" ref="C7:I7" si="0">AVERAGE(C2:C6)</f>
        <v>0.9219022126751073</v>
      </c>
      <c r="D7">
        <f t="shared" si="0"/>
        <v>0.90198830409356712</v>
      </c>
      <c r="E7">
        <f t="shared" si="0"/>
        <v>0.94324324324324316</v>
      </c>
      <c r="F7">
        <f t="shared" si="0"/>
        <v>0.9008403361344538</v>
      </c>
      <c r="G7">
        <f t="shared" si="0"/>
        <v>0.92193800685855243</v>
      </c>
      <c r="H7">
        <f t="shared" si="0"/>
        <v>0.90205847953216378</v>
      </c>
      <c r="I7">
        <f t="shared" si="0"/>
        <v>0.94324324324324316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E0AA-554D-41AE-94B0-99A327623386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0.88235294117647056</v>
      </c>
      <c r="C2">
        <v>0.9078947368421052</v>
      </c>
      <c r="D2">
        <v>0.88461538461538458</v>
      </c>
      <c r="E2">
        <v>0.93243243243243235</v>
      </c>
      <c r="F2">
        <v>0.89075630252100846</v>
      </c>
      <c r="G2">
        <v>0.91390728476821204</v>
      </c>
      <c r="H2">
        <v>0.89610389610389607</v>
      </c>
      <c r="I2">
        <v>0.93243243243243235</v>
      </c>
    </row>
    <row r="3" spans="1:9" x14ac:dyDescent="0.3">
      <c r="A3">
        <v>1002</v>
      </c>
      <c r="B3">
        <v>0.89075630252100846</v>
      </c>
      <c r="C3">
        <v>0.91275167785234901</v>
      </c>
      <c r="D3">
        <v>0.90666666666666662</v>
      </c>
      <c r="E3">
        <v>0.91891891891891897</v>
      </c>
      <c r="F3">
        <v>0.89075630252100846</v>
      </c>
      <c r="G3">
        <v>0.91156462585034004</v>
      </c>
      <c r="H3">
        <v>0.9178082191780822</v>
      </c>
      <c r="I3">
        <v>0.90540540540540537</v>
      </c>
    </row>
    <row r="4" spans="1:9" x14ac:dyDescent="0.3">
      <c r="A4">
        <v>1003</v>
      </c>
      <c r="B4">
        <v>0.91596638655462181</v>
      </c>
      <c r="C4">
        <v>0.93589743589743601</v>
      </c>
      <c r="D4">
        <v>0.8902439024390244</v>
      </c>
      <c r="E4">
        <v>0.9864864864864864</v>
      </c>
      <c r="F4">
        <v>0.91596638655462181</v>
      </c>
      <c r="G4">
        <v>0.93589743589743601</v>
      </c>
      <c r="H4">
        <v>0.8902439024390244</v>
      </c>
      <c r="I4">
        <v>0.9864864864864864</v>
      </c>
    </row>
    <row r="5" spans="1:9" x14ac:dyDescent="0.3">
      <c r="A5">
        <v>1004</v>
      </c>
      <c r="B5">
        <v>0.89915966386554624</v>
      </c>
      <c r="C5">
        <v>0.92105263157894723</v>
      </c>
      <c r="D5">
        <v>0.89743589743589747</v>
      </c>
      <c r="E5">
        <v>0.94594594594594605</v>
      </c>
      <c r="F5">
        <v>0.90756302521008403</v>
      </c>
      <c r="G5">
        <v>0.92715231788079477</v>
      </c>
      <c r="H5">
        <v>0.90909090909090917</v>
      </c>
      <c r="I5">
        <v>0.94594594594594605</v>
      </c>
    </row>
    <row r="6" spans="1:9" x14ac:dyDescent="0.3">
      <c r="A6">
        <v>1005</v>
      </c>
      <c r="B6">
        <v>0.90756302521008403</v>
      </c>
      <c r="C6">
        <v>0.92715231788079466</v>
      </c>
      <c r="D6">
        <v>0.90909090909090906</v>
      </c>
      <c r="E6">
        <v>0.94594594594594594</v>
      </c>
      <c r="F6">
        <v>0.90756302521008403</v>
      </c>
      <c r="G6">
        <v>0.92715231788079466</v>
      </c>
      <c r="H6">
        <v>0.90909090909090906</v>
      </c>
      <c r="I6">
        <v>0.94594594594594594</v>
      </c>
    </row>
    <row r="7" spans="1:9" x14ac:dyDescent="0.3">
      <c r="B7">
        <f>AVERAGE(B2:B6)</f>
        <v>0.89915966386554624</v>
      </c>
      <c r="C7">
        <f t="shared" ref="C7:I7" si="0">AVERAGE(C2:C6)</f>
        <v>0.92094976001032658</v>
      </c>
      <c r="D7">
        <f t="shared" si="0"/>
        <v>0.8976105520495764</v>
      </c>
      <c r="E7">
        <f t="shared" si="0"/>
        <v>0.94594594594594594</v>
      </c>
      <c r="F7">
        <f t="shared" si="0"/>
        <v>0.90252100840336136</v>
      </c>
      <c r="G7">
        <f t="shared" si="0"/>
        <v>0.92313479645551555</v>
      </c>
      <c r="H7">
        <f t="shared" si="0"/>
        <v>0.9044675671805642</v>
      </c>
      <c r="I7">
        <f t="shared" si="0"/>
        <v>0.94324324324324316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7533-2DBB-4CFB-993D-4888E35D713D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0.89915966386554624</v>
      </c>
      <c r="C2">
        <v>0.92105263157894723</v>
      </c>
      <c r="D2">
        <v>0.89743589743589747</v>
      </c>
      <c r="E2">
        <v>0.94594594594594605</v>
      </c>
      <c r="F2">
        <v>0.89915966386554624</v>
      </c>
      <c r="G2">
        <v>0.92105263157894723</v>
      </c>
      <c r="H2">
        <v>0.89743589743589747</v>
      </c>
      <c r="I2">
        <v>0.94594594594594605</v>
      </c>
    </row>
    <row r="3" spans="1:9" x14ac:dyDescent="0.3">
      <c r="A3">
        <v>1002</v>
      </c>
      <c r="B3">
        <v>0.88235294117647056</v>
      </c>
      <c r="C3">
        <v>0.91025641025641024</v>
      </c>
      <c r="D3">
        <v>0.86585365853658536</v>
      </c>
      <c r="E3">
        <v>0.95945945945945943</v>
      </c>
      <c r="F3">
        <v>0.88235294117647056</v>
      </c>
      <c r="G3">
        <v>0.91025641025641024</v>
      </c>
      <c r="H3">
        <v>0.86585365853658536</v>
      </c>
      <c r="I3">
        <v>0.95945945945945943</v>
      </c>
    </row>
    <row r="4" spans="1:9" x14ac:dyDescent="0.3">
      <c r="A4">
        <v>1003</v>
      </c>
      <c r="B4">
        <v>0.91596638655462181</v>
      </c>
      <c r="C4">
        <v>0.9342105263157896</v>
      </c>
      <c r="D4">
        <v>0.91025641025641024</v>
      </c>
      <c r="E4">
        <v>0.95945945945945943</v>
      </c>
      <c r="F4">
        <v>0.91596638655462181</v>
      </c>
      <c r="G4">
        <v>0.9342105263157896</v>
      </c>
      <c r="H4">
        <v>0.91025641025641024</v>
      </c>
      <c r="I4">
        <v>0.95945945945945943</v>
      </c>
    </row>
    <row r="5" spans="1:9" x14ac:dyDescent="0.3">
      <c r="A5">
        <v>1004</v>
      </c>
      <c r="B5">
        <v>0.86554621848739499</v>
      </c>
      <c r="C5">
        <v>0.89473684210526316</v>
      </c>
      <c r="D5">
        <v>0.87179487179487181</v>
      </c>
      <c r="E5">
        <v>0.91891891891891897</v>
      </c>
      <c r="F5">
        <v>0.87394957983193278</v>
      </c>
      <c r="G5">
        <v>0.90066225165562919</v>
      </c>
      <c r="H5">
        <v>0.88311688311688308</v>
      </c>
      <c r="I5">
        <v>0.91891891891891897</v>
      </c>
    </row>
    <row r="6" spans="1:9" x14ac:dyDescent="0.3">
      <c r="A6">
        <v>1005</v>
      </c>
      <c r="B6">
        <v>0.87394957983193278</v>
      </c>
      <c r="C6">
        <v>0.90196078431372551</v>
      </c>
      <c r="D6">
        <v>0.87341772151898733</v>
      </c>
      <c r="E6">
        <v>0.93243243243243246</v>
      </c>
      <c r="F6">
        <v>0.86554621848739499</v>
      </c>
      <c r="G6">
        <v>0.89473684210526316</v>
      </c>
      <c r="H6">
        <v>0.87179487179487181</v>
      </c>
      <c r="I6">
        <v>0.91891891891891897</v>
      </c>
    </row>
    <row r="7" spans="1:9" x14ac:dyDescent="0.3">
      <c r="B7">
        <f>AVERAGE(B2:B6)</f>
        <v>0.88739495798319334</v>
      </c>
      <c r="C7">
        <f t="shared" ref="C7:I7" si="0">AVERAGE(C2:C6)</f>
        <v>0.91244343891402713</v>
      </c>
      <c r="D7">
        <f t="shared" si="0"/>
        <v>0.8837517119085504</v>
      </c>
      <c r="E7">
        <f t="shared" si="0"/>
        <v>0.94324324324324316</v>
      </c>
      <c r="F7">
        <f t="shared" si="0"/>
        <v>0.88739495798319334</v>
      </c>
      <c r="G7">
        <f t="shared" si="0"/>
        <v>0.9121837323824078</v>
      </c>
      <c r="H7">
        <f t="shared" si="0"/>
        <v>0.88569154422812946</v>
      </c>
      <c r="I7">
        <f t="shared" si="0"/>
        <v>0.94054054054054048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7DBF-014F-4359-A016-24BBB71430F7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0.8571428571428571</v>
      </c>
      <c r="C2">
        <v>0.88590604026845643</v>
      </c>
      <c r="D2">
        <v>0.88</v>
      </c>
      <c r="E2">
        <v>0.89189189189189189</v>
      </c>
      <c r="F2">
        <v>0.8571428571428571</v>
      </c>
      <c r="G2">
        <v>0.88590604026845643</v>
      </c>
      <c r="H2">
        <v>0.88</v>
      </c>
      <c r="I2">
        <v>0.89189189189189189</v>
      </c>
    </row>
    <row r="3" spans="1:9" x14ac:dyDescent="0.3">
      <c r="A3">
        <v>1002</v>
      </c>
      <c r="B3">
        <v>0.89915966386554624</v>
      </c>
      <c r="C3">
        <v>0.91891891891891897</v>
      </c>
      <c r="D3">
        <v>0.91891891891891897</v>
      </c>
      <c r="E3">
        <v>0.91891891891891897</v>
      </c>
      <c r="F3">
        <v>0.89915966386554624</v>
      </c>
      <c r="G3">
        <v>0.91891891891891897</v>
      </c>
      <c r="H3">
        <v>0.91891891891891897</v>
      </c>
      <c r="I3">
        <v>0.91891891891891897</v>
      </c>
    </row>
    <row r="4" spans="1:9" x14ac:dyDescent="0.3">
      <c r="A4">
        <v>1003</v>
      </c>
      <c r="B4">
        <v>0.9243697478991596</v>
      </c>
      <c r="C4">
        <v>0.94039735099337762</v>
      </c>
      <c r="D4">
        <v>0.92207792207792205</v>
      </c>
      <c r="E4">
        <v>0.95945945945945943</v>
      </c>
      <c r="F4">
        <v>0.9243697478991596</v>
      </c>
      <c r="G4">
        <v>0.94039735099337762</v>
      </c>
      <c r="H4">
        <v>0.92207792207792205</v>
      </c>
      <c r="I4">
        <v>0.95945945945945943</v>
      </c>
    </row>
    <row r="5" spans="1:9" x14ac:dyDescent="0.3">
      <c r="A5">
        <v>1004</v>
      </c>
      <c r="B5">
        <v>0.8571428571428571</v>
      </c>
      <c r="C5">
        <v>0.88590604026845643</v>
      </c>
      <c r="D5">
        <v>0.88</v>
      </c>
      <c r="E5">
        <v>0.89189189189189189</v>
      </c>
      <c r="F5">
        <v>0.8571428571428571</v>
      </c>
      <c r="G5">
        <v>0.88590604026845643</v>
      </c>
      <c r="H5">
        <v>0.88</v>
      </c>
      <c r="I5">
        <v>0.89189189189189189</v>
      </c>
    </row>
    <row r="6" spans="1:9" x14ac:dyDescent="0.3">
      <c r="A6">
        <v>1005</v>
      </c>
      <c r="B6">
        <v>0.91596638655462181</v>
      </c>
      <c r="C6">
        <v>0.93421052631578949</v>
      </c>
      <c r="D6">
        <v>0.91025641025641024</v>
      </c>
      <c r="E6">
        <v>0.95945945945945943</v>
      </c>
      <c r="F6">
        <v>0.90756302521008403</v>
      </c>
      <c r="G6">
        <v>0.92810457516339873</v>
      </c>
      <c r="H6">
        <v>0.89873417721518989</v>
      </c>
      <c r="I6">
        <v>0.95945945945945943</v>
      </c>
    </row>
    <row r="7" spans="1:9" x14ac:dyDescent="0.3">
      <c r="B7">
        <f>AVERAGE(B2:B6)</f>
        <v>0.89075630252100846</v>
      </c>
      <c r="C7">
        <f t="shared" ref="C7:I7" si="0">AVERAGE(C2:C6)</f>
        <v>0.91306777535299977</v>
      </c>
      <c r="D7">
        <f t="shared" si="0"/>
        <v>0.90225065025065021</v>
      </c>
      <c r="E7">
        <f t="shared" si="0"/>
        <v>0.92432432432432443</v>
      </c>
      <c r="F7">
        <f t="shared" si="0"/>
        <v>0.8890756302521009</v>
      </c>
      <c r="G7">
        <f t="shared" si="0"/>
        <v>0.9118465851225217</v>
      </c>
      <c r="H7">
        <f t="shared" si="0"/>
        <v>0.89994620364240618</v>
      </c>
      <c r="I7">
        <f t="shared" si="0"/>
        <v>0.92432432432432443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F227-6A32-470B-A6AB-584E92B32D19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0.90756302521008403</v>
      </c>
      <c r="C2">
        <v>0.92715231788079477</v>
      </c>
      <c r="D2">
        <v>0.90909090909090917</v>
      </c>
      <c r="E2">
        <v>0.94594594594594605</v>
      </c>
      <c r="F2">
        <v>0.89915966386554624</v>
      </c>
      <c r="G2">
        <v>0.92105263157894723</v>
      </c>
      <c r="H2">
        <v>0.89743589743589747</v>
      </c>
      <c r="I2">
        <v>0.94594594594594605</v>
      </c>
    </row>
    <row r="3" spans="1:9" x14ac:dyDescent="0.3">
      <c r="A3">
        <v>1002</v>
      </c>
      <c r="B3">
        <v>0.89915966386554624</v>
      </c>
      <c r="C3">
        <v>0.91891891891891897</v>
      </c>
      <c r="D3">
        <v>0.91891891891891897</v>
      </c>
      <c r="E3">
        <v>0.91891891891891897</v>
      </c>
      <c r="F3">
        <v>0.90756302521008403</v>
      </c>
      <c r="G3">
        <v>0.9251700680272108</v>
      </c>
      <c r="H3">
        <v>0.93150684931506844</v>
      </c>
      <c r="I3">
        <v>0.91891891891891897</v>
      </c>
    </row>
    <row r="4" spans="1:9" x14ac:dyDescent="0.3">
      <c r="A4">
        <v>1003</v>
      </c>
      <c r="B4">
        <v>0.91596638655462181</v>
      </c>
      <c r="C4">
        <v>0.9342105263157896</v>
      </c>
      <c r="D4">
        <v>0.91025641025641024</v>
      </c>
      <c r="E4">
        <v>0.95945945945945943</v>
      </c>
      <c r="F4">
        <v>0.9243697478991596</v>
      </c>
      <c r="G4">
        <v>0.94039735099337762</v>
      </c>
      <c r="H4">
        <v>0.92207792207792205</v>
      </c>
      <c r="I4">
        <v>0.95945945945945943</v>
      </c>
    </row>
    <row r="5" spans="1:9" x14ac:dyDescent="0.3">
      <c r="A5">
        <v>1004</v>
      </c>
      <c r="B5">
        <v>0.89075630252100846</v>
      </c>
      <c r="C5">
        <v>0.91503267973856195</v>
      </c>
      <c r="D5">
        <v>0.88607594936708856</v>
      </c>
      <c r="E5">
        <v>0.94594594594594605</v>
      </c>
      <c r="F5">
        <v>0.90756302521008403</v>
      </c>
      <c r="G5">
        <v>0.92810457516339884</v>
      </c>
      <c r="H5">
        <v>0.89873417721518989</v>
      </c>
      <c r="I5">
        <v>0.95945945945945943</v>
      </c>
    </row>
    <row r="6" spans="1:9" x14ac:dyDescent="0.3">
      <c r="A6">
        <v>1005</v>
      </c>
      <c r="B6">
        <v>0.91596638655462181</v>
      </c>
      <c r="C6">
        <v>0.93421052631578949</v>
      </c>
      <c r="D6">
        <v>0.91025641025641024</v>
      </c>
      <c r="E6">
        <v>0.95945945945945943</v>
      </c>
      <c r="F6">
        <v>0.89915966386554624</v>
      </c>
      <c r="G6">
        <v>0.92105263157894735</v>
      </c>
      <c r="H6">
        <v>0.89743589743589747</v>
      </c>
      <c r="I6">
        <v>0.94594594594594594</v>
      </c>
    </row>
    <row r="7" spans="1:9" x14ac:dyDescent="0.3">
      <c r="B7">
        <f>AVERAGE(B2:B6)</f>
        <v>0.90588235294117647</v>
      </c>
      <c r="C7">
        <f t="shared" ref="C7:I7" si="0">AVERAGE(C2:C6)</f>
        <v>0.92590499383397107</v>
      </c>
      <c r="D7">
        <f t="shared" si="0"/>
        <v>0.90691971957794737</v>
      </c>
      <c r="E7">
        <f t="shared" si="0"/>
        <v>0.94594594594594594</v>
      </c>
      <c r="F7">
        <f t="shared" si="0"/>
        <v>0.90756302521008403</v>
      </c>
      <c r="G7">
        <f t="shared" si="0"/>
        <v>0.92715545146837641</v>
      </c>
      <c r="H7">
        <f t="shared" si="0"/>
        <v>0.90943814869599504</v>
      </c>
      <c r="I7">
        <f t="shared" si="0"/>
        <v>0.94594594594594594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2C66-345D-46A9-B884-B8977C3922C5}">
  <dimension ref="A1:I7"/>
  <sheetViews>
    <sheetView workbookViewId="0">
      <selection activeCell="F16" sqref="F16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0.86554621848739499</v>
      </c>
      <c r="C2">
        <v>0.89743589743589747</v>
      </c>
      <c r="D2">
        <v>0.85365853658536583</v>
      </c>
      <c r="E2">
        <v>0.94594594594594605</v>
      </c>
      <c r="F2">
        <v>0.87394957983193278</v>
      </c>
      <c r="G2">
        <v>0.90322580645161277</v>
      </c>
      <c r="H2">
        <v>0.86419753086419748</v>
      </c>
      <c r="I2">
        <v>0.94594594594594605</v>
      </c>
    </row>
    <row r="3" spans="1:9" x14ac:dyDescent="0.3">
      <c r="A3">
        <v>1002</v>
      </c>
      <c r="B3">
        <v>0.88235294117647056</v>
      </c>
      <c r="C3">
        <v>0.90909090909090917</v>
      </c>
      <c r="D3">
        <v>0.875</v>
      </c>
      <c r="E3">
        <v>0.94594594594594605</v>
      </c>
      <c r="F3">
        <v>0.89075630252100846</v>
      </c>
      <c r="G3">
        <v>0.91503267973856195</v>
      </c>
      <c r="H3">
        <v>0.88607594936708856</v>
      </c>
      <c r="I3">
        <v>0.94594594594594605</v>
      </c>
    </row>
    <row r="4" spans="1:9" x14ac:dyDescent="0.3">
      <c r="A4">
        <v>1003</v>
      </c>
      <c r="B4">
        <v>0.89915966386554624</v>
      </c>
      <c r="C4">
        <v>0.92207792207792205</v>
      </c>
      <c r="D4">
        <v>0.88749999999999996</v>
      </c>
      <c r="E4">
        <v>0.95945945945945943</v>
      </c>
      <c r="F4">
        <v>0.90756302521008403</v>
      </c>
      <c r="G4">
        <v>0.92810457516339884</v>
      </c>
      <c r="H4">
        <v>0.89873417721518989</v>
      </c>
      <c r="I4">
        <v>0.95945945945945943</v>
      </c>
    </row>
    <row r="5" spans="1:9" x14ac:dyDescent="0.3">
      <c r="A5">
        <v>1004</v>
      </c>
      <c r="B5">
        <v>0.89075630252100846</v>
      </c>
      <c r="C5">
        <v>0.91503267973856195</v>
      </c>
      <c r="D5">
        <v>0.88607594936708856</v>
      </c>
      <c r="E5">
        <v>0.94594594594594605</v>
      </c>
      <c r="F5">
        <v>0.89075630252100846</v>
      </c>
      <c r="G5">
        <v>0.91503267973856195</v>
      </c>
      <c r="H5">
        <v>0.88607594936708856</v>
      </c>
      <c r="I5">
        <v>0.94594594594594605</v>
      </c>
    </row>
    <row r="6" spans="1:9" x14ac:dyDescent="0.3">
      <c r="A6">
        <v>1005</v>
      </c>
      <c r="B6">
        <v>0.87394957983193278</v>
      </c>
      <c r="C6">
        <v>0.89795918367346939</v>
      </c>
      <c r="D6">
        <v>0.90410958904109584</v>
      </c>
      <c r="E6">
        <v>0.89189189189189189</v>
      </c>
      <c r="F6">
        <v>0.89075630252100846</v>
      </c>
      <c r="G6">
        <v>0.91034482758620694</v>
      </c>
      <c r="H6">
        <v>0.92957746478873238</v>
      </c>
      <c r="I6">
        <v>0.89189189189189189</v>
      </c>
    </row>
    <row r="7" spans="1:9" x14ac:dyDescent="0.3">
      <c r="B7">
        <f>AVERAGE(B2:B6)</f>
        <v>0.88235294117647067</v>
      </c>
      <c r="C7">
        <f t="shared" ref="C7:I7" si="0">AVERAGE(C2:C6)</f>
        <v>0.90831931840335189</v>
      </c>
      <c r="D7">
        <f t="shared" si="0"/>
        <v>0.88126881499871002</v>
      </c>
      <c r="E7">
        <f t="shared" si="0"/>
        <v>0.93783783783783792</v>
      </c>
      <c r="F7">
        <f t="shared" si="0"/>
        <v>0.89075630252100846</v>
      </c>
      <c r="G7">
        <f t="shared" si="0"/>
        <v>0.91434811373566838</v>
      </c>
      <c r="H7">
        <f t="shared" si="0"/>
        <v>0.89293221432045944</v>
      </c>
      <c r="I7">
        <f t="shared" si="0"/>
        <v>0.93783783783783792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AFEA-2F0C-4554-BE9B-0D0695838CE9}">
  <dimension ref="A1:I7"/>
  <sheetViews>
    <sheetView topLeftCell="C1"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0.91596638655462181</v>
      </c>
      <c r="C2">
        <v>0.93589743589743601</v>
      </c>
      <c r="D2">
        <v>0.8902439024390244</v>
      </c>
      <c r="E2">
        <v>0.9864864864864864</v>
      </c>
      <c r="F2">
        <v>0.91596638655462181</v>
      </c>
      <c r="G2">
        <v>0.93506493506493504</v>
      </c>
      <c r="H2">
        <v>0.9</v>
      </c>
      <c r="I2">
        <v>0.97297297297297303</v>
      </c>
    </row>
    <row r="3" spans="1:9" x14ac:dyDescent="0.3">
      <c r="A3">
        <v>1002</v>
      </c>
      <c r="B3">
        <v>0.91596638655462181</v>
      </c>
      <c r="C3">
        <v>0.9342105263157896</v>
      </c>
      <c r="D3">
        <v>0.91025641025641024</v>
      </c>
      <c r="E3">
        <v>0.95945945945945943</v>
      </c>
      <c r="F3">
        <v>0.90756302521008403</v>
      </c>
      <c r="G3">
        <v>0.92715231788079477</v>
      </c>
      <c r="H3">
        <v>0.90909090909090917</v>
      </c>
      <c r="I3">
        <v>0.94594594594594605</v>
      </c>
    </row>
    <row r="4" spans="1:9" x14ac:dyDescent="0.3">
      <c r="A4">
        <v>1003</v>
      </c>
      <c r="B4">
        <v>0.9243697478991596</v>
      </c>
      <c r="C4">
        <v>0.94039735099337762</v>
      </c>
      <c r="D4">
        <v>0.92207792207792205</v>
      </c>
      <c r="E4">
        <v>0.95945945945945943</v>
      </c>
      <c r="F4">
        <v>0.9243697478991596</v>
      </c>
      <c r="G4">
        <v>0.94039735099337762</v>
      </c>
      <c r="H4">
        <v>0.92207792207792205</v>
      </c>
      <c r="I4">
        <v>0.95945945945945943</v>
      </c>
    </row>
    <row r="5" spans="1:9" x14ac:dyDescent="0.3">
      <c r="A5">
        <v>1004</v>
      </c>
      <c r="B5">
        <v>0.90756302521008403</v>
      </c>
      <c r="C5">
        <v>0.92810457516339884</v>
      </c>
      <c r="D5">
        <v>0.89873417721518989</v>
      </c>
      <c r="E5">
        <v>0.95945945945945943</v>
      </c>
      <c r="F5">
        <v>0.90756302521008403</v>
      </c>
      <c r="G5">
        <v>0.92715231788079477</v>
      </c>
      <c r="H5">
        <v>0.90909090909090917</v>
      </c>
      <c r="I5">
        <v>0.94594594594594605</v>
      </c>
    </row>
    <row r="6" spans="1:9" x14ac:dyDescent="0.3">
      <c r="A6">
        <v>1005</v>
      </c>
      <c r="B6">
        <v>0.92436974789915971</v>
      </c>
      <c r="C6">
        <v>0.94117647058823528</v>
      </c>
      <c r="D6">
        <v>0.91139240506329111</v>
      </c>
      <c r="E6">
        <v>0.97297297297297303</v>
      </c>
      <c r="F6">
        <v>0.92436974789915971</v>
      </c>
      <c r="G6">
        <v>0.94117647058823528</v>
      </c>
      <c r="H6">
        <v>0.91139240506329111</v>
      </c>
      <c r="I6">
        <v>0.97297297297297303</v>
      </c>
    </row>
    <row r="7" spans="1:9" x14ac:dyDescent="0.3">
      <c r="B7">
        <f>SUBTOTAL(101,whisper_single12_log_auto_1___1[acc_test])</f>
        <v>0.91764705882352937</v>
      </c>
      <c r="C7">
        <f>SUBTOTAL(101,whisper_single12_log_auto_1___1[f1])</f>
        <v>0.93595727179164745</v>
      </c>
      <c r="D7">
        <f>SUBTOTAL(101,whisper_single12_log_auto_1___1[precision])</f>
        <v>0.9065409634103675</v>
      </c>
      <c r="E7">
        <f>SUBTOTAL(101,whisper_single12_log_auto_1___1[recall])</f>
        <v>0.96756756756756757</v>
      </c>
      <c r="F7">
        <f>SUBTOTAL(101,whisper_single12_log_auto_1___1[acc_test_vote])</f>
        <v>0.91596638655462181</v>
      </c>
      <c r="G7">
        <f>SUBTOTAL(101,whisper_single12_log_auto_1___1[f1_vote])</f>
        <v>0.93418867848162768</v>
      </c>
      <c r="H7">
        <f>SUBTOTAL(101,whisper_single12_log_auto_1___1[precision_vote])</f>
        <v>0.91033042906460615</v>
      </c>
      <c r="I7">
        <f>SUBTOTAL(101,whisper_single12_log_auto_1___1[recall_vote])</f>
        <v>0.95945945945945943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AB17-D459-4F32-96F5-BE074620E4D5}">
  <dimension ref="B1:B12"/>
  <sheetViews>
    <sheetView tabSelected="1" workbookViewId="0">
      <selection activeCell="B12" sqref="B12"/>
    </sheetView>
  </sheetViews>
  <sheetFormatPr defaultRowHeight="14" x14ac:dyDescent="0.3"/>
  <sheetData>
    <row r="1" spans="2:2" x14ac:dyDescent="0.3">
      <c r="B1">
        <f ca="1">INDIRECT("'" &amp; 12 &amp; "'!F7")</f>
        <v>0.89075630252100846</v>
      </c>
    </row>
    <row r="2" spans="2:2" x14ac:dyDescent="0.3">
      <c r="B2">
        <f ca="1">INDIRECT("'" &amp; 11 &amp; "'!F7")</f>
        <v>0.90420168067226891</v>
      </c>
    </row>
    <row r="3" spans="2:2" x14ac:dyDescent="0.3">
      <c r="B3">
        <f ca="1">INDIRECT("'" &amp; 10 &amp; "'!F7")</f>
        <v>0.9008403361344538</v>
      </c>
    </row>
    <row r="4" spans="2:2" x14ac:dyDescent="0.3">
      <c r="B4">
        <f ca="1">INDIRECT("'" &amp;9 &amp; "'!F7")</f>
        <v>0.90756302521008403</v>
      </c>
    </row>
    <row r="5" spans="2:2" x14ac:dyDescent="0.3">
      <c r="B5">
        <f ca="1">INDIRECT("'" &amp; 8 &amp; "'!F7")</f>
        <v>0.91092436974789914</v>
      </c>
    </row>
    <row r="6" spans="2:2" x14ac:dyDescent="0.3">
      <c r="B6">
        <f ca="1">INDIRECT("'" &amp; 7 &amp; "'!F7")</f>
        <v>0.9008403361344538</v>
      </c>
    </row>
    <row r="7" spans="2:2" x14ac:dyDescent="0.3">
      <c r="B7">
        <f ca="1">INDIRECT("'" &amp; 6 &amp; "'!F7")</f>
        <v>0.90252100840336136</v>
      </c>
    </row>
    <row r="8" spans="2:2" x14ac:dyDescent="0.3">
      <c r="B8">
        <f ca="1">INDIRECT("'" &amp; 5 &amp; "'!F7")</f>
        <v>0.88739495798319334</v>
      </c>
    </row>
    <row r="9" spans="2:2" x14ac:dyDescent="0.3">
      <c r="B9">
        <f ca="1">INDIRECT("'" &amp; 4 &amp; "'!F7")</f>
        <v>0.8890756302521009</v>
      </c>
    </row>
    <row r="10" spans="2:2" x14ac:dyDescent="0.3">
      <c r="B10">
        <f ca="1">INDIRECT("'" &amp; 3 &amp; "'!F7")</f>
        <v>0.90756302521008403</v>
      </c>
    </row>
    <row r="11" spans="2:2" x14ac:dyDescent="0.3">
      <c r="B11">
        <f ca="1">INDIRECT("'" &amp; 2 &amp; "'!F7")</f>
        <v>0.89075630252100846</v>
      </c>
    </row>
    <row r="12" spans="2:2" x14ac:dyDescent="0.3">
      <c r="B12">
        <f ca="1">INDIRECT("'" &amp; 1 &amp; "'!F7")</f>
        <v>0.91596638655462181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80B42D-1563-4147-B249-CCE5BF6E19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yu</dc:creator>
  <cp:lastModifiedBy>sc yu</cp:lastModifiedBy>
  <dcterms:created xsi:type="dcterms:W3CDTF">2025-11-01T03:29:32Z</dcterms:created>
  <dcterms:modified xsi:type="dcterms:W3CDTF">2025-11-04T18:29:39Z</dcterms:modified>
</cp:coreProperties>
</file>