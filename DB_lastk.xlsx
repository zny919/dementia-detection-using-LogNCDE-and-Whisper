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esktop\PaperSource\whisper1_12\Pitt\lastk(0)(1)\"/>
    </mc:Choice>
  </mc:AlternateContent>
  <xr:revisionPtr revIDLastSave="0" documentId="13_ncr:1_{91683C5F-2F3A-4C2D-9303-DBD88DBC5974}" xr6:coauthVersionLast="47" xr6:coauthVersionMax="47" xr10:uidLastSave="{00000000-0000-0000-0000-000000000000}"/>
  <bookViews>
    <workbookView xWindow="-110" yWindow="-110" windowWidth="25820" windowHeight="15500" firstSheet="2" activeTab="10" xr2:uid="{F3DA7BD7-3D58-45FC-9BF3-FE0DB0EECAF8}"/>
  </bookViews>
  <sheets>
    <sheet name="1" sheetId="35" r:id="rId1"/>
    <sheet name="11" sheetId="5" r:id="rId2"/>
    <sheet name="10" sheetId="4" r:id="rId3"/>
    <sheet name="9" sheetId="3" r:id="rId4"/>
    <sheet name="3" sheetId="17" r:id="rId5"/>
    <sheet name="4" sheetId="24" r:id="rId6"/>
    <sheet name="6" sheetId="31" r:id="rId7"/>
    <sheet name="5" sheetId="30" r:id="rId8"/>
    <sheet name="8" sheetId="33" r:id="rId9"/>
    <sheet name="2" sheetId="34" r:id="rId10"/>
    <sheet name="7" sheetId="36" r:id="rId11"/>
    <sheet name="12" sheetId="37" r:id="rId12"/>
    <sheet name="Sheet1" sheetId="1" r:id="rId13"/>
  </sheets>
  <definedNames>
    <definedName name="ExternalData_1" localSheetId="11" hidden="1">'12'!$A$1:$I$6</definedName>
    <definedName name="ExternalData_1" localSheetId="9" hidden="1">'2'!$A$1:$I$6</definedName>
    <definedName name="ExternalData_1" localSheetId="10" hidden="1">'7'!$A$1:$I$6</definedName>
    <definedName name="ExternalData_2" localSheetId="8" hidden="1">'8'!$A$1:$I$6</definedName>
    <definedName name="ExternalData_2" localSheetId="3" hidden="1">'9'!$A$1:$I$6</definedName>
    <definedName name="ExternalData_3" localSheetId="2" hidden="1">'10'!$A$1:$I$6</definedName>
    <definedName name="ExternalData_3" localSheetId="4" hidden="1">'3'!$A$1:$I$6</definedName>
    <definedName name="ExternalData_3" localSheetId="5" hidden="1">'4'!$A$1:$I$6</definedName>
    <definedName name="ExternalData_3" localSheetId="7" hidden="1">'5'!$A$1:$I$6</definedName>
    <definedName name="ExternalData_4" localSheetId="1" hidden="1">'11'!$A$1:$I$6</definedName>
    <definedName name="ExternalData_4" localSheetId="6" hidden="1">'6'!$A$1:$I$6</definedName>
    <definedName name="ExternalData_5" localSheetId="0" hidden="1">'1'!$A$1:$I$6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37" l="1"/>
  <c r="D7" i="37"/>
  <c r="E7" i="37"/>
  <c r="F7" i="37"/>
  <c r="G7" i="37"/>
  <c r="H7" i="37"/>
  <c r="I7" i="37"/>
  <c r="B7" i="37"/>
  <c r="C7" i="36"/>
  <c r="D7" i="36"/>
  <c r="E7" i="36"/>
  <c r="F7" i="36"/>
  <c r="G7" i="36"/>
  <c r="H7" i="36"/>
  <c r="I7" i="36"/>
  <c r="B7" i="36"/>
  <c r="C7" i="35"/>
  <c r="D7" i="35"/>
  <c r="E7" i="35"/>
  <c r="F7" i="35"/>
  <c r="G7" i="35"/>
  <c r="H7" i="35"/>
  <c r="I7" i="35"/>
  <c r="B7" i="35"/>
  <c r="C7" i="34"/>
  <c r="D7" i="34"/>
  <c r="E7" i="34"/>
  <c r="F7" i="34"/>
  <c r="G7" i="34"/>
  <c r="H7" i="34"/>
  <c r="I7" i="34"/>
  <c r="B7" i="34"/>
  <c r="C7" i="30"/>
  <c r="D7" i="30"/>
  <c r="E7" i="30"/>
  <c r="F7" i="30"/>
  <c r="G7" i="30"/>
  <c r="H7" i="30"/>
  <c r="I7" i="30"/>
  <c r="C7" i="33"/>
  <c r="D7" i="33"/>
  <c r="E7" i="33"/>
  <c r="F7" i="33"/>
  <c r="G7" i="33"/>
  <c r="H7" i="33"/>
  <c r="I7" i="33"/>
  <c r="C7" i="31"/>
  <c r="D7" i="31"/>
  <c r="E7" i="31"/>
  <c r="F7" i="31"/>
  <c r="G7" i="31"/>
  <c r="H7" i="31"/>
  <c r="I7" i="31"/>
  <c r="B7" i="30"/>
  <c r="B7" i="33"/>
  <c r="B7" i="31"/>
  <c r="C7" i="24"/>
  <c r="D7" i="24"/>
  <c r="E7" i="24"/>
  <c r="F7" i="24"/>
  <c r="G7" i="24"/>
  <c r="H7" i="24"/>
  <c r="I7" i="24"/>
  <c r="B7" i="24"/>
  <c r="C2" i="1"/>
  <c r="C7" i="17" l="1"/>
  <c r="D7" i="17"/>
  <c r="E7" i="17"/>
  <c r="F7" i="17"/>
  <c r="G7" i="17"/>
  <c r="H7" i="17"/>
  <c r="I7" i="17"/>
  <c r="B7" i="17"/>
  <c r="C12" i="1"/>
  <c r="C9" i="1"/>
  <c r="C7" i="1"/>
  <c r="C5" i="1"/>
  <c r="C4" i="1"/>
  <c r="C11" i="1"/>
  <c r="C6" i="1"/>
  <c r="C3" i="1"/>
  <c r="C8" i="1"/>
  <c r="C1" i="1"/>
  <c r="C10" i="1"/>
  <c r="C7" i="5" l="1"/>
  <c r="D7" i="5"/>
  <c r="E7" i="5"/>
  <c r="F7" i="5"/>
  <c r="G7" i="5"/>
  <c r="H7" i="5"/>
  <c r="I7" i="5"/>
  <c r="C7" i="4"/>
  <c r="D7" i="4"/>
  <c r="E7" i="4"/>
  <c r="F7" i="4"/>
  <c r="G7" i="4"/>
  <c r="H7" i="4"/>
  <c r="I7" i="4"/>
  <c r="C7" i="3"/>
  <c r="D7" i="3"/>
  <c r="E7" i="3"/>
  <c r="F7" i="3"/>
  <c r="G7" i="3"/>
  <c r="H7" i="3"/>
  <c r="I7" i="3"/>
  <c r="B7" i="5"/>
  <c r="B7" i="4"/>
  <c r="B7" i="3"/>
  <c r="B4" i="1"/>
  <c r="B2" i="1"/>
  <c r="B11" i="1"/>
  <c r="B7" i="1"/>
  <c r="B3" i="1"/>
  <c r="B10" i="1"/>
  <c r="B5" i="1"/>
  <c r="B1" i="1"/>
  <c r="B12" i="1"/>
  <c r="B6" i="1"/>
  <c r="B9" i="1"/>
  <c r="B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46E3BC-F4BD-43D7-BB06-8BF06D0EF70F}" keepAlive="1" name="查询 - whisper_log_last1_auto(1)_(1)" description="与工作簿中“whisper_log_last1_auto(1)_(1)”查询的连接。" type="5" refreshedVersion="0" background="1">
    <dbPr connection="Provider=Microsoft.Mashup.OleDb.1;Data Source=$Workbook$;Location=whisper_log_last1_auto(1)_(1);Extended Properties=&quot;&quot;" command="SELECT * FROM [whisper_log_last1_auto(1)_(1)]"/>
  </connection>
  <connection id="2" xr16:uid="{9428275D-8BFE-4EC5-9618-D417B9C0B029}" keepAlive="1" name="查询 - whisper_log_last1_auto(no)_ (2)" description="与工作簿中“whisper_log_last1_auto(no)_ (2)”查询的连接。" type="5" refreshedVersion="0" background="1">
    <dbPr connection="Provider=Microsoft.Mashup.OleDb.1;Data Source=$Workbook$;Location=&quot;whisper_log_last1_auto(no)_ (2)&quot;;Extended Properties=&quot;&quot;" command="SELECT * FROM [whisper_log_last1_auto(no)_ (2)]"/>
  </connection>
  <connection id="3" xr16:uid="{B0813269-5797-4DA7-A036-913036D6D37F}" keepAlive="1" name="查询 - whisper_log_last1_auto(no)_ (3)" description="与工作簿中“whisper_log_last1_auto(no)_ (3)”查询的连接。" type="5" refreshedVersion="8" background="1" saveData="1">
    <dbPr connection="Provider=Microsoft.Mashup.OleDb.1;Data Source=$Workbook$;Location=&quot;whisper_log_last1_auto(no)_ (3)&quot;;Extended Properties=&quot;&quot;" command="SELECT * FROM [whisper_log_last1_auto(no)_ (3)]"/>
  </connection>
  <connection id="4" xr16:uid="{7FF5EAE7-3C3D-48BF-8BBE-12045167610E}" keepAlive="1" name="查询 - whisper_log_last1_auto(no)_(1)" description="与工作簿中“whisper_log_last1_auto(no)_(1)”查询的连接。" type="5" refreshedVersion="0" background="1">
    <dbPr connection="Provider=Microsoft.Mashup.OleDb.1;Data Source=$Workbook$;Location=whisper_log_last1_auto(no)_(1);Extended Properties=&quot;&quot;" command="SELECT * FROM [whisper_log_last1_auto(no)_(1)]"/>
  </connection>
  <connection id="5" xr16:uid="{3DB43B65-A1C3-4E37-A458-E0BBADBCB6D9}" keepAlive="1" name="查询 - whisper_log_last10_auto(no)_(1)" description="与工作簿中“whisper_log_last10_auto(no)_(1)”查询的连接。" type="5" refreshedVersion="8" background="1" saveData="1">
    <dbPr connection="Provider=Microsoft.Mashup.OleDb.1;Data Source=$Workbook$;Location=whisper_log_last10_auto(no)_(1);Extended Properties=&quot;&quot;" command="SELECT * FROM [whisper_log_last10_auto(no)_(1)]"/>
  </connection>
  <connection id="6" xr16:uid="{18C2A77B-A2AD-444E-BFF4-EAD879300322}" keepAlive="1" name="查询 - whisper_log_last11_auto(no)_(1)" description="与工作簿中“whisper_log_last11_auto(no)_(1)”查询的连接。" type="5" refreshedVersion="8" background="1" saveData="1">
    <dbPr connection="Provider=Microsoft.Mashup.OleDb.1;Data Source=$Workbook$;Location=whisper_log_last11_auto(no)_(1);Extended Properties=&quot;&quot;" command="SELECT * FROM [whisper_log_last11_auto(no)_(1)]"/>
  </connection>
  <connection id="7" xr16:uid="{0536D188-A8A0-4D95-8CD7-523A113BFEC7}" keepAlive="1" name="查询 - whisper_log_last12_auto(no)_ (2)" description="与工作簿中“whisper_log_last12_auto(no)_ (2)”查询的连接。" type="5" refreshedVersion="8" background="1" saveData="1">
    <dbPr connection="Provider=Microsoft.Mashup.OleDb.1;Data Source=$Workbook$;Location=&quot;whisper_log_last12_auto(no)_ (2)&quot;;Extended Properties=&quot;&quot;" command="SELECT * FROM [whisper_log_last12_auto(no)_ (2)]"/>
  </connection>
  <connection id="8" xr16:uid="{8F87BB1C-CFAE-40E8-8C7E-D81CF13C4F74}" keepAlive="1" name="查询 - whisper_log_last12_auto(no)_(1)" description="与工作簿中“whisper_log_last12_auto(no)_(1)”查询的连接。" type="5" refreshedVersion="0" background="1">
    <dbPr connection="Provider=Microsoft.Mashup.OleDb.1;Data Source=$Workbook$;Location=whisper_log_last12_auto(no)_(1);Extended Properties=&quot;&quot;" command="SELECT * FROM [whisper_log_last12_auto(no)_(1)]"/>
  </connection>
  <connection id="9" xr16:uid="{E9DBC4F1-2281-46C3-812B-6B6A70C8D816}" keepAlive="1" name="查询 - whisper_log_last2_auto(1)_ (2)" description="与工作簿中“whisper_log_last2_auto(1)_ (2)”查询的连接。" type="5" refreshedVersion="0" background="1">
    <dbPr connection="Provider=Microsoft.Mashup.OleDb.1;Data Source=$Workbook$;Location=&quot;whisper_log_last2_auto(1)_ (2)&quot;;Extended Properties=&quot;&quot;" command="SELECT * FROM [whisper_log_last2_auto(1)_ (2)]"/>
  </connection>
  <connection id="10" xr16:uid="{450B50A0-7502-4C79-9CF9-E2055C602612}" keepAlive="1" name="查询 - whisper_log_last2_auto(1)_ (3)" description="与工作簿中“whisper_log_last2_auto(1)_ (3)”查询的连接。" type="5" refreshedVersion="0" background="1">
    <dbPr connection="Provider=Microsoft.Mashup.OleDb.1;Data Source=$Workbook$;Location=&quot;whisper_log_last2_auto(1)_ (3)&quot;;Extended Properties=&quot;&quot;" command="SELECT * FROM [whisper_log_last2_auto(1)_ (3)]"/>
  </connection>
  <connection id="11" xr16:uid="{138AEB4F-AE85-4554-9E25-48DDE238AFF6}" keepAlive="1" name="查询 - whisper_log_last2_auto(1)_(1)" description="与工作簿中“whisper_log_last2_auto(1)_(1)”查询的连接。" type="5" refreshedVersion="0" background="1">
    <dbPr connection="Provider=Microsoft.Mashup.OleDb.1;Data Source=$Workbook$;Location=whisper_log_last2_auto(1)_(1);Extended Properties=&quot;&quot;" command="SELECT * FROM [whisper_log_last2_auto(1)_(1)]"/>
  </connection>
  <connection id="12" xr16:uid="{5D0A8634-F9C8-446D-97DC-12B951EA04F9}" keepAlive="1" name="查询 - whisper_log_last2_auto(no)_ (2)" description="与工作簿中“whisper_log_last2_auto(no)_ (2)”查询的连接。" type="5" refreshedVersion="8" background="1" saveData="1">
    <dbPr connection="Provider=Microsoft.Mashup.OleDb.1;Data Source=$Workbook$;Location=&quot;whisper_log_last2_auto(no)_ (2)&quot;;Extended Properties=&quot;&quot;" command="SELECT * FROM [whisper_log_last2_auto(no)_ (2)]"/>
  </connection>
  <connection id="13" xr16:uid="{CD621C6C-0BD5-4C47-8D9A-AF6C6D539F99}" keepAlive="1" name="查询 - whisper_log_last2_auto(no)_(1)" description="与工作簿中“whisper_log_last2_auto(no)_(1)”查询的连接。" type="5" refreshedVersion="0" background="1">
    <dbPr connection="Provider=Microsoft.Mashup.OleDb.1;Data Source=$Workbook$;Location=whisper_log_last2_auto(no)_(1);Extended Properties=&quot;&quot;" command="SELECT * FROM [whisper_log_last2_auto(no)_(1)]"/>
  </connection>
  <connection id="14" xr16:uid="{F063F50F-E438-467F-834A-BE60BC97A99C}" keepAlive="1" name="查询 - whisper_log_last3_auto(1)_ (2)" description="与工作簿中“whisper_log_last3_auto(1)_ (2)”查询的连接。" type="5" refreshedVersion="0" background="1">
    <dbPr connection="Provider=Microsoft.Mashup.OleDb.1;Data Source=$Workbook$;Location=&quot;whisper_log_last3_auto(1)_ (2)&quot;;Extended Properties=&quot;&quot;" command="SELECT * FROM [whisper_log_last3_auto(1)_ (2)]"/>
  </connection>
  <connection id="15" xr16:uid="{1D652D90-4897-4CD7-A9AE-0CF07CC9DF63}" keepAlive="1" name="查询 - whisper_log_last3_auto(1)_ (3)" description="与工作簿中“whisper_log_last3_auto(1)_ (3)”查询的连接。" type="5" refreshedVersion="8" background="1" saveData="1">
    <dbPr connection="Provider=Microsoft.Mashup.OleDb.1;Data Source=$Workbook$;Location=&quot;whisper_log_last3_auto(1)_ (3)&quot;;Extended Properties=&quot;&quot;" command="SELECT * FROM [whisper_log_last3_auto(1)_ (3)]"/>
  </connection>
  <connection id="16" xr16:uid="{C4486E32-A047-4161-8E2A-6332F7607AFD}" keepAlive="1" name="查询 - whisper_log_last3_auto(1)_(1)" description="与工作簿中“whisper_log_last3_auto(1)_(1)”查询的连接。" type="5" refreshedVersion="0" background="1">
    <dbPr connection="Provider=Microsoft.Mashup.OleDb.1;Data Source=$Workbook$;Location=whisper_log_last3_auto(1)_(1);Extended Properties=&quot;&quot;" command="SELECT * FROM [whisper_log_last3_auto(1)_(1)]"/>
  </connection>
  <connection id="17" xr16:uid="{6454E88B-8D7E-4270-8608-1FE4CED56707}" keepAlive="1" name="查询 - whisper_log_last4_auto(1)_(1)" description="与工作簿中“whisper_log_last4_auto(1)_(1)”查询的连接。" type="5" refreshedVersion="0" background="1">
    <dbPr connection="Provider=Microsoft.Mashup.OleDb.1;Data Source=$Workbook$;Location=whisper_log_last4_auto(1)_(1);Extended Properties=&quot;&quot;" command="SELECT * FROM [whisper_log_last4_auto(1)_(1)]"/>
  </connection>
  <connection id="18" xr16:uid="{CA6C9B2B-7549-4622-8074-9D585F8C36FF}" keepAlive="1" name="查询 - whisper_log_last4_auto(no)_(1)" description="与工作簿中“whisper_log_last4_auto(no)_(1)”查询的连接。" type="5" refreshedVersion="8" background="1" saveData="1">
    <dbPr connection="Provider=Microsoft.Mashup.OleDb.1;Data Source=$Workbook$;Location=whisper_log_last4_auto(no)_(1);Extended Properties=&quot;&quot;" command="SELECT * FROM [whisper_log_last4_auto(no)_(1)]"/>
  </connection>
  <connection id="19" xr16:uid="{4508F30D-09E5-4EB7-B6DD-EEAA8E80AC57}" keepAlive="1" name="查询 - whisper_log_last5_auto(1)_(1)" description="与工作簿中“whisper_log_last5_auto(1)_(1)”查询的连接。" type="5" refreshedVersion="0" background="1">
    <dbPr connection="Provider=Microsoft.Mashup.OleDb.1;Data Source=$Workbook$;Location=whisper_log_last5_auto(1)_(1);Extended Properties=&quot;&quot;" command="SELECT * FROM [whisper_log_last5_auto(1)_(1)]"/>
  </connection>
  <connection id="20" xr16:uid="{1A308E3C-81C7-44B1-A488-06BCD960C68A}" keepAlive="1" name="查询 - whisper_log_last5_auto(no)_ (2)" description="与工作簿中“whisper_log_last5_auto(no)_ (2)”查询的连接。" type="5" refreshedVersion="8" background="1" saveData="1">
    <dbPr connection="Provider=Microsoft.Mashup.OleDb.1;Data Source=$Workbook$;Location=&quot;whisper_log_last5_auto(no)_ (2)&quot;;Extended Properties=&quot;&quot;" command="SELECT * FROM [whisper_log_last5_auto(no)_ (2)]"/>
  </connection>
  <connection id="21" xr16:uid="{9D0932EC-523B-4B06-BD83-38536EE29B66}" keepAlive="1" name="查询 - whisper_log_last5_auto(no)_(1)" description="与工作簿中“whisper_log_last5_auto(no)_(1)”查询的连接。" type="5" refreshedVersion="0" background="1">
    <dbPr connection="Provider=Microsoft.Mashup.OleDb.1;Data Source=$Workbook$;Location=whisper_log_last5_auto(no)_(1);Extended Properties=&quot;&quot;" command="SELECT * FROM [whisper_log_last5_auto(no)_(1)]"/>
  </connection>
  <connection id="22" xr16:uid="{54236FA2-534D-4C25-940D-DB302BDFD2C5}" keepAlive="1" name="查询 - whisper_log_last6_auto(1)_(1)" description="与工作簿中“whisper_log_last6_auto(1)_(1)”查询的连接。" type="5" refreshedVersion="0" background="1">
    <dbPr connection="Provider=Microsoft.Mashup.OleDb.1;Data Source=$Workbook$;Location=whisper_log_last6_auto(1)_(1);Extended Properties=&quot;&quot;" command="SELECT * FROM [whisper_log_last6_auto(1)_(1)]"/>
  </connection>
  <connection id="23" xr16:uid="{AB92EDBF-9CD8-4539-9AFB-E31E1F6522A5}" keepAlive="1" name="查询 - whisper_log_last6_auto(no)_(1)" description="与工作簿中“whisper_log_last6_auto(no)_(1)”查询的连接。" type="5" refreshedVersion="8" background="1" saveData="1">
    <dbPr connection="Provider=Microsoft.Mashup.OleDb.1;Data Source=$Workbook$;Location=whisper_log_last6_auto(no)_(1);Extended Properties=&quot;&quot;" command="SELECT * FROM [whisper_log_last6_auto(no)_(1)]"/>
  </connection>
  <connection id="24" xr16:uid="{9A4EB77B-07D9-45D8-BDDC-D2A4D56CE65A}" keepAlive="1" name="查询 - whisper_log_last7_auto(1)_(1)" description="与工作簿中“whisper_log_last7_auto(1)_(1)”查询的连接。" type="5" refreshedVersion="0" background="1">
    <dbPr connection="Provider=Microsoft.Mashup.OleDb.1;Data Source=$Workbook$;Location=whisper_log_last7_auto(1)_(1);Extended Properties=&quot;&quot;" command="SELECT * FROM [whisper_log_last7_auto(1)_(1)]"/>
  </connection>
  <connection id="25" xr16:uid="{7415DB65-0A61-4D45-9B42-253DA3431EBC}" keepAlive="1" name="查询 - whisper_log_last7_auto(no)_(1) (1)" description="与工作簿中“whisper_log_last7_auto(no)_(1) (1)”查询的连接。" type="5" refreshedVersion="0" background="1">
    <dbPr connection="Provider=Microsoft.Mashup.OleDb.1;Data Source=$Workbook$;Location=&quot;whisper_log_last7_auto(no)_(1) (1)&quot;;Extended Properties=&quot;&quot;" command="SELECT * FROM [whisper_log_last7_auto(no)_(1) (1)]"/>
  </connection>
  <connection id="26" xr16:uid="{28803AA3-A82B-4F49-9093-D5BB96BF51C7}" keepAlive="1" name="查询 - whisper_log_last7_auto(no)_(1) (2)" description="与工作簿中“whisper_log_last7_auto(no)_(1) (2)”查询的连接。" type="5" refreshedVersion="0" background="1">
    <dbPr connection="Provider=Microsoft.Mashup.OleDb.1;Data Source=$Workbook$;Location=&quot;whisper_log_last7_auto(no)_(1) (2)&quot;;Extended Properties=&quot;&quot;" command="SELECT * FROM [whisper_log_last7_auto(no)_(1) (2)]"/>
  </connection>
  <connection id="27" xr16:uid="{D2B4FC5B-F509-4ACA-A6E7-3D435F0A1B0B}" keepAlive="1" name="查询 - whisper_log_last7_auto(no)_(1) (3)" description="与工作簿中“whisper_log_last7_auto(no)_(1) (3)”查询的连接。" type="5" refreshedVersion="8" background="1" saveData="1">
    <dbPr connection="Provider=Microsoft.Mashup.OleDb.1;Data Source=$Workbook$;Location=&quot;whisper_log_last7_auto(no)_(1) (3)&quot;;Extended Properties=&quot;&quot;" command="SELECT * FROM [whisper_log_last7_auto(no)_(1) (3)]"/>
  </connection>
  <connection id="28" xr16:uid="{0DAF3164-6454-4991-9075-A1D35A96B74A}" keepAlive="1" name="查询 - whisper_log_last8_auto(1)_(1)" description="与工作簿中“whisper_log_last8_auto(1)_(1)”查询的连接。" type="5" refreshedVersion="0" background="1">
    <dbPr connection="Provider=Microsoft.Mashup.OleDb.1;Data Source=$Workbook$;Location=whisper_log_last8_auto(1)_(1);Extended Properties=&quot;&quot;" command="SELECT * FROM [whisper_log_last8_auto(1)_(1)]"/>
  </connection>
  <connection id="29" xr16:uid="{2B38640F-EE65-4D95-B4FD-663B4D3DD9BB}" keepAlive="1" name="查询 - whisper_log_last8_auto(no)_(1)" description="与工作簿中“whisper_log_last8_auto(no)_(1)”查询的连接。" type="5" refreshedVersion="0" background="1">
    <dbPr connection="Provider=Microsoft.Mashup.OleDb.1;Data Source=$Workbook$;Location=whisper_log_last8_auto(no)_(1);Extended Properties=&quot;&quot;" command="SELECT * FROM [whisper_log_last8_auto(no)_(1)]"/>
  </connection>
  <connection id="30" xr16:uid="{04A191C8-8F70-47C6-9482-7B4067B80ED2}" keepAlive="1" name="查询 - whisper_log_last8_auto(no)_(1) (2)" description="与工作簿中“whisper_log_last8_auto(no)_(1) (2)”查询的连接。" type="5" refreshedVersion="0" background="1">
    <dbPr connection="Provider=Microsoft.Mashup.OleDb.1;Data Source=$Workbook$;Location=&quot;whisper_log_last8_auto(no)_(1) (2)&quot;;Extended Properties=&quot;&quot;" command="SELECT * FROM [whisper_log_last8_auto(no)_(1) (2)]"/>
  </connection>
  <connection id="31" xr16:uid="{8DA74207-9E90-4C26-89BE-BDA201EB9D1D}" keepAlive="1" name="查询 - whisper_log_last8_auto(no)_(1) (3)" description="与工作簿中“whisper_log_last8_auto(no)_(1) (3)”查询的连接。" type="5" refreshedVersion="8" background="1" saveData="1">
    <dbPr connection="Provider=Microsoft.Mashup.OleDb.1;Data Source=$Workbook$;Location=&quot;whisper_log_last8_auto(no)_(1) (3)&quot;;Extended Properties=&quot;&quot;" command="SELECT * FROM [whisper_log_last8_auto(no)_(1) (3)]"/>
  </connection>
  <connection id="32" xr16:uid="{BDC4F3BA-65C7-4D7F-A8E1-7B42AA9B9C9A}" keepAlive="1" name="查询 - whisper_log_last9_auto(no)_(1)" description="与工作簿中“whisper_log_last9_auto(no)_(1)”查询的连接。" type="5" refreshedVersion="8" background="1" saveData="1">
    <dbPr connection="Provider=Microsoft.Mashup.OleDb.1;Data Source=$Workbook$;Location=whisper_log_last9_auto(no)_(1);Extended Properties=&quot;&quot;" command="SELECT * FROM [whisper_log_last9_auto(no)_(1)]"/>
  </connection>
  <connection id="33" xr16:uid="{4E0F6DBD-F6E9-4A64-A097-37766E94FEE9}" keepAlive="1" name="查询 - whisper_single6_auto(no)_(1)" description="与工作簿中“whisper_single6_auto(no)_(1)”查询的连接。" type="5" refreshedVersion="0" background="1">
    <dbPr connection="Provider=Microsoft.Mashup.OleDb.1;Data Source=$Workbook$;Location=whisper_single6_auto(no)_(1);Extended Properties=&quot;&quot;" command="SELECT * FROM [whisper_single6_auto(no)_(1)]"/>
  </connection>
  <connection id="34" xr16:uid="{B1827F2F-A101-4FBC-B60C-A65D79956C2C}" keepAlive="1" name="查询 - whisper_single7_log_auto(no)_(1)" description="与工作簿中“whisper_single7_log_auto(no)_(1)”查询的连接。" type="5" refreshedVersion="0" background="1">
    <dbPr connection="Provider=Microsoft.Mashup.OleDb.1;Data Source=$Workbook$;Location=whisper_single7_log_auto(no)_(1);Extended Properties=&quot;&quot;" command="SELECT * FROM [whisper_single7_log_auto(no)_(1)]"/>
  </connection>
  <connection id="35" xr16:uid="{5B1B9621-9559-44AD-9B09-75662B2559F1}" keepAlive="1" name="查询 - whisper_single8_auto(no)_(1)" description="与工作簿中“whisper_single8_auto(no)_(1)”查询的连接。" type="5" refreshedVersion="0" background="1">
    <dbPr connection="Provider=Microsoft.Mashup.OleDb.1;Data Source=$Workbook$;Location=whisper_single8_auto(no)_(1);Extended Properties=&quot;&quot;" command="SELECT * FROM [whisper_single8_auto(no)_(1)]"/>
  </connection>
</connections>
</file>

<file path=xl/sharedStrings.xml><?xml version="1.0" encoding="utf-8"?>
<sst xmlns="http://schemas.openxmlformats.org/spreadsheetml/2006/main" count="108" uniqueCount="9">
  <si>
    <t>seed</t>
  </si>
  <si>
    <t>acc_test</t>
  </si>
  <si>
    <t>f1</t>
  </si>
  <si>
    <t>precision</t>
  </si>
  <si>
    <t>recall</t>
  </si>
  <si>
    <t>acc_test_vote</t>
  </si>
  <si>
    <t>f1_vote</t>
  </si>
  <si>
    <t>precision_vote</t>
  </si>
  <si>
    <t>recall_vote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</si>
</sst>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Sheet1!$B$1:$B$12</c:f>
              <c:numCache>
                <c:formatCode>General</c:formatCode>
                <c:ptCount val="12"/>
                <c:pt idx="0">
                  <c:v>0.6875</c:v>
                </c:pt>
                <c:pt idx="1">
                  <c:v>0.70833333333333326</c:v>
                </c:pt>
                <c:pt idx="2">
                  <c:v>0.73333333333333339</c:v>
                </c:pt>
                <c:pt idx="3">
                  <c:v>0.77083333333333326</c:v>
                </c:pt>
                <c:pt idx="4">
                  <c:v>0.83125000000000004</c:v>
                </c:pt>
                <c:pt idx="5">
                  <c:v>0.85624999999999996</c:v>
                </c:pt>
                <c:pt idx="6">
                  <c:v>0.83125000000000004</c:v>
                </c:pt>
                <c:pt idx="7">
                  <c:v>0.84166666666666656</c:v>
                </c:pt>
                <c:pt idx="8">
                  <c:v>0.83333333333333337</c:v>
                </c:pt>
                <c:pt idx="9">
                  <c:v>0.81126760563380285</c:v>
                </c:pt>
                <c:pt idx="10">
                  <c:v>0.82916666666666683</c:v>
                </c:pt>
                <c:pt idx="11">
                  <c:v>0.84791666666666665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ED-4BC9-A808-F644586C1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681312"/>
        <c:axId val="1788538112"/>
      </c:lineChart>
      <c:catAx>
        <c:axId val="67681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8538112"/>
        <c:crosses val="autoZero"/>
        <c:auto val="1"/>
        <c:lblAlgn val="ctr"/>
        <c:lblOffset val="100"/>
        <c:noMultiLvlLbl val="0"/>
      </c:catAx>
      <c:valAx>
        <c:axId val="1788538112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68131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5</xdr:row>
      <xdr:rowOff>136525</xdr:rowOff>
    </xdr:from>
    <xdr:to>
      <xdr:col>10</xdr:col>
      <xdr:colOff>120650</xdr:colOff>
      <xdr:row>21</xdr:row>
      <xdr:rowOff>34925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5E5D191-7C6C-728D-73D6-49500D4C2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4B5C416C-F667-4932-8711-1CCE1B4F457F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AD0E2775-4ED0-4AA9-828E-7EF997E67122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B012CF57-5564-4880-B392-09968700F2F6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2" xr16:uid="{4601006B-67E4-43BE-8B2A-3C464472263C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D979DAC4-8703-4D84-ACEF-1C39F5CDF5B0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8" xr16:uid="{403B6830-25C6-46B5-8274-D9AAF04E4B01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3" xr16:uid="{1E7EAAA1-20DB-433F-97D5-ECF58C2549A7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0" xr16:uid="{2B3AD12F-771C-40BC-BCCB-537DD2612F91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41DA9833-9924-4A37-AB55-DD780BAADC78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21D74416-F516-493F-A5BA-DF7BD2B7A907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7" xr16:uid="{C166BEA8-4E4B-465B-BE94-ACA6EF1E6BE6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202D9E31-EA1F-47C7-B82A-890F494B5BB8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3A01C4A7-648B-4DEA-B4D5-3D23B2FEF524}" name="whisper_log_last1_auto_no____3" displayName="whisper_log_last1_auto_no____3" ref="A1:I7" tableType="queryTable" totalsRowCount="1">
  <autoFilter ref="A1:I6" xr:uid="{3A01C4A7-648B-4DEA-B4D5-3D23B2FEF524}"/>
  <tableColumns count="9">
    <tableColumn id="1" xr3:uid="{58FA9437-0E31-4232-827F-148E711A9283}" uniqueName="1" name="seed" queryTableFieldId="1"/>
    <tableColumn id="2" xr3:uid="{0DD9FD6E-8C38-43DA-9AE7-F3F0741B5031}" uniqueName="2" name="acc_test" totalsRowFunction="average" queryTableFieldId="2"/>
    <tableColumn id="3" xr3:uid="{8A493D49-C845-4A6E-B995-F3726EB48463}" uniqueName="3" name="f1" totalsRowFunction="average" queryTableFieldId="3"/>
    <tableColumn id="4" xr3:uid="{78D9F58B-FC5E-4911-9D78-4DE0C141E3D7}" uniqueName="4" name="precision" totalsRowFunction="average" queryTableFieldId="4"/>
    <tableColumn id="5" xr3:uid="{F11EDCB9-53FB-4891-A82D-7BB4A6DFB19F}" uniqueName="5" name="recall" totalsRowFunction="average" queryTableFieldId="5"/>
    <tableColumn id="6" xr3:uid="{94E1DDE0-3341-4A2E-A7B7-AE5BBD1F41D4}" uniqueName="6" name="acc_test_vote" totalsRowFunction="average" queryTableFieldId="6"/>
    <tableColumn id="7" xr3:uid="{7C804FF6-AF97-4C48-B7F5-7D636D497E49}" uniqueName="7" name="f1_vote" totalsRowFunction="average" queryTableFieldId="7"/>
    <tableColumn id="8" xr3:uid="{4C84F4A7-A322-4247-A830-16BABA7E2555}" uniqueName="8" name="precision_vote" totalsRowFunction="average" queryTableFieldId="8"/>
    <tableColumn id="9" xr3:uid="{F6548626-3C00-471F-80B5-870C53086563}" uniqueName="9" name="recall_vote" totalsRowFunction="average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9EB365-AAA3-45AA-8E9A-A597AF15FE37}" name="whisper_log_last11_auto_no___1" displayName="whisper_log_last11_auto_no___1" ref="A1:I6" tableType="queryTable" totalsRowShown="0">
  <autoFilter ref="A1:I6" xr:uid="{E49EB365-AAA3-45AA-8E9A-A597AF15FE37}"/>
  <tableColumns count="9">
    <tableColumn id="1" xr3:uid="{828192A9-7BEA-4FD6-B41F-A84A5FB41394}" uniqueName="1" name="seed" queryTableFieldId="1"/>
    <tableColumn id="2" xr3:uid="{415F1BBD-06A2-4546-8094-A220C669ACC1}" uniqueName="2" name="acc_test" queryTableFieldId="2"/>
    <tableColumn id="3" xr3:uid="{F045AAE8-F9F0-4036-AC52-CF7253CE4A8E}" uniqueName="3" name="f1" queryTableFieldId="3"/>
    <tableColumn id="4" xr3:uid="{89AA0529-61A9-4844-8EA7-5558E2252B75}" uniqueName="4" name="precision" queryTableFieldId="4"/>
    <tableColumn id="5" xr3:uid="{7347F076-1316-41B5-9D32-BCD7A2C6F85B}" uniqueName="5" name="recall" queryTableFieldId="5"/>
    <tableColumn id="6" xr3:uid="{E126491E-4747-4B5C-9414-9FE39C5648DA}" uniqueName="6" name="acc_test_vote" queryTableFieldId="6"/>
    <tableColumn id="7" xr3:uid="{E5F0F25F-D0A5-4BC1-AFBF-6DDCCF70F2EC}" uniqueName="7" name="f1_vote" queryTableFieldId="7"/>
    <tableColumn id="8" xr3:uid="{FCCE929B-747E-425D-92C5-AFFF4B96323C}" uniqueName="8" name="precision_vote" queryTableFieldId="8"/>
    <tableColumn id="9" xr3:uid="{7B3C6467-507B-4B11-95A8-9801F79FCA54}" uniqueName="9" name="recall_vote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80534C-D259-4DA0-9384-2CF8C4DCA0AB}" name="whisper_log_last10_auto_no___1" displayName="whisper_log_last10_auto_no___1" ref="A1:I6" tableType="queryTable" totalsRowShown="0">
  <autoFilter ref="A1:I6" xr:uid="{FA80534C-D259-4DA0-9384-2CF8C4DCA0AB}"/>
  <tableColumns count="9">
    <tableColumn id="1" xr3:uid="{95FC3BE2-D81A-4F13-9E1D-E1D111C08F10}" uniqueName="1" name="seed" queryTableFieldId="1"/>
    <tableColumn id="2" xr3:uid="{7554C7A8-CC15-4E59-BDAA-1CC6F7B9C669}" uniqueName="2" name="acc_test" queryTableFieldId="2"/>
    <tableColumn id="3" xr3:uid="{B86F61A6-700D-44B1-A72C-53C29AB7AC33}" uniqueName="3" name="f1" queryTableFieldId="3"/>
    <tableColumn id="4" xr3:uid="{F2E959E9-B49D-4E07-9104-C12F24535C8A}" uniqueName="4" name="precision" queryTableFieldId="4"/>
    <tableColumn id="5" xr3:uid="{C135E3DA-0289-4A7F-BBD3-D72BE958F8DA}" uniqueName="5" name="recall" queryTableFieldId="5"/>
    <tableColumn id="6" xr3:uid="{12757C71-5D43-4804-9B48-88A38B0CF8EF}" uniqueName="6" name="acc_test_vote" queryTableFieldId="6"/>
    <tableColumn id="7" xr3:uid="{6D039CFB-A9A4-40B0-AF58-8875C2F7E2FB}" uniqueName="7" name="f1_vote" queryTableFieldId="7"/>
    <tableColumn id="8" xr3:uid="{D07BBC03-EA4F-4694-B77C-D90B2774F4B6}" uniqueName="8" name="precision_vote" queryTableFieldId="8"/>
    <tableColumn id="9" xr3:uid="{18F43B59-DE49-40C3-AAD2-D9F24ED4D193}" uniqueName="9" name="recall_vote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5899BD-3CA0-4351-A0D3-A692BFB9ED5B}" name="whisper_log_last9_auto_no___1" displayName="whisper_log_last9_auto_no___1" ref="A1:I6" tableType="queryTable" totalsRowShown="0">
  <autoFilter ref="A1:I6" xr:uid="{635899BD-3CA0-4351-A0D3-A692BFB9ED5B}"/>
  <tableColumns count="9">
    <tableColumn id="1" xr3:uid="{BB9CB0A6-04AA-475A-B950-764E2013ED85}" uniqueName="1" name="seed" queryTableFieldId="1"/>
    <tableColumn id="2" xr3:uid="{264B8E42-5F5D-460D-8257-285A28DBAFB1}" uniqueName="2" name="acc_test" queryTableFieldId="2"/>
    <tableColumn id="3" xr3:uid="{C7785583-2830-4062-8371-78F8867F9E25}" uniqueName="3" name="f1" queryTableFieldId="3"/>
    <tableColumn id="4" xr3:uid="{97766DA3-210F-4653-9370-8AC055109E43}" uniqueName="4" name="precision" queryTableFieldId="4"/>
    <tableColumn id="5" xr3:uid="{A4F057FD-D567-4E99-9ADA-CCF3535E4A2D}" uniqueName="5" name="recall" queryTableFieldId="5"/>
    <tableColumn id="6" xr3:uid="{67754CDF-ECCC-495F-9842-1F7C8411185F}" uniqueName="6" name="acc_test_vote" queryTableFieldId="6"/>
    <tableColumn id="7" xr3:uid="{A56866D0-8E56-4807-B90B-9AD41D14B6B7}" uniqueName="7" name="f1_vote" queryTableFieldId="7"/>
    <tableColumn id="8" xr3:uid="{85FFAE6A-EFF0-4318-B5E8-A040916822E7}" uniqueName="8" name="precision_vote" queryTableFieldId="8"/>
    <tableColumn id="9" xr3:uid="{67F7993A-D238-4609-B110-47AB9419D564}" uniqueName="9" name="recall_vote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EDA620D-1AEB-4528-B157-A35195915FCC}" name="whisper_log_last3_auto_1____3" displayName="whisper_log_last3_auto_1____3" ref="A1:I6" tableType="queryTable" totalsRowShown="0">
  <autoFilter ref="A1:I6" xr:uid="{DEDA620D-1AEB-4528-B157-A35195915FCC}"/>
  <tableColumns count="9">
    <tableColumn id="1" xr3:uid="{84470C4E-583F-4CD0-AC9D-6DA22EF1CD44}" uniqueName="1" name="seed" queryTableFieldId="1"/>
    <tableColumn id="2" xr3:uid="{86D72A61-0FD8-424A-A954-CB42531AC438}" uniqueName="2" name="acc_test" queryTableFieldId="2"/>
    <tableColumn id="3" xr3:uid="{315EC8B0-9131-4DB8-BE7E-C5D725953673}" uniqueName="3" name="f1" queryTableFieldId="3"/>
    <tableColumn id="4" xr3:uid="{A9A91161-62DD-4863-9366-BEFF3260A56E}" uniqueName="4" name="precision" queryTableFieldId="4"/>
    <tableColumn id="5" xr3:uid="{89EBD191-1F5B-47CE-AE00-E89126468BC0}" uniqueName="5" name="recall" queryTableFieldId="5"/>
    <tableColumn id="6" xr3:uid="{13CF2CC6-1626-4230-96AE-036405ACE1D6}" uniqueName="6" name="acc_test_vote" queryTableFieldId="6"/>
    <tableColumn id="7" xr3:uid="{FEB8345B-5ABE-46B0-8889-25B1EADED1B3}" uniqueName="7" name="f1_vote" queryTableFieldId="7"/>
    <tableColumn id="8" xr3:uid="{B5A8BA67-B23D-4B5D-945F-09E84CA2CB0A}" uniqueName="8" name="precision_vote" queryTableFieldId="8"/>
    <tableColumn id="9" xr3:uid="{C838535B-7400-481D-807A-9A92024CB2F5}" uniqueName="9" name="recall_vote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0CC0507-E10F-4B94-AEC0-DA31B4429F6D}" name="whisper_log_last4_auto_no___1" displayName="whisper_log_last4_auto_no___1" ref="A1:I7" tableType="queryTable" totalsRowCount="1">
  <autoFilter ref="A1:I6" xr:uid="{40CC0507-E10F-4B94-AEC0-DA31B4429F6D}"/>
  <tableColumns count="9">
    <tableColumn id="1" xr3:uid="{ED395C70-C762-4915-BFA1-781987C7545A}" uniqueName="1" name="seed" queryTableFieldId="1"/>
    <tableColumn id="2" xr3:uid="{6D11B9DB-1816-4850-B59F-76E3C34ADD48}" uniqueName="2" name="acc_test" totalsRowFunction="average" queryTableFieldId="2"/>
    <tableColumn id="3" xr3:uid="{580A49ED-18E6-4406-A016-E58FF8AC2686}" uniqueName="3" name="f1" totalsRowFunction="average" queryTableFieldId="3"/>
    <tableColumn id="4" xr3:uid="{7E4CE024-4A26-4BBE-A315-27449DC4BB76}" uniqueName="4" name="precision" totalsRowFunction="average" queryTableFieldId="4"/>
    <tableColumn id="5" xr3:uid="{64A82B53-5513-4BEB-BC10-DEE724E7FA46}" uniqueName="5" name="recall" totalsRowFunction="average" queryTableFieldId="5"/>
    <tableColumn id="6" xr3:uid="{60FE0778-91EF-4780-BAD0-1CBF478C67A8}" uniqueName="6" name="acc_test_vote" totalsRowFunction="average" queryTableFieldId="6"/>
    <tableColumn id="7" xr3:uid="{3883E2B1-7562-4439-81EC-4800BCD37937}" uniqueName="7" name="f1_vote" totalsRowFunction="average" queryTableFieldId="7"/>
    <tableColumn id="8" xr3:uid="{C3A9497F-1332-48A6-A9E2-8D4AF60D4D6A}" uniqueName="8" name="precision_vote" totalsRowFunction="average" queryTableFieldId="8"/>
    <tableColumn id="9" xr3:uid="{5437A60E-CC75-46FD-88D8-597C6CCB6AA5}" uniqueName="9" name="recall_vote" totalsRowFunction="average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E611E103-9D7F-4137-85F0-5CF741D19FD4}" name="whisper_log_last6_auto_no___1" displayName="whisper_log_last6_auto_no___1" ref="A1:I6" tableType="queryTable" totalsRowShown="0">
  <autoFilter ref="A1:I6" xr:uid="{E611E103-9D7F-4137-85F0-5CF741D19FD4}"/>
  <tableColumns count="9">
    <tableColumn id="1" xr3:uid="{DCC4D0CF-111A-4313-A8EA-10A705EC0DD9}" uniqueName="1" name="seed" queryTableFieldId="1"/>
    <tableColumn id="2" xr3:uid="{3512CD55-3E05-4D4D-BEE6-213E2135F9B4}" uniqueName="2" name="acc_test" queryTableFieldId="2"/>
    <tableColumn id="3" xr3:uid="{DEFD4C81-073D-4AB2-A4C3-483239932EA2}" uniqueName="3" name="f1" queryTableFieldId="3"/>
    <tableColumn id="4" xr3:uid="{C0FF73DB-631E-4736-A73D-138D45989E18}" uniqueName="4" name="precision" queryTableFieldId="4"/>
    <tableColumn id="5" xr3:uid="{D57B6DBD-6E44-40CF-BE25-8E7DA3A67790}" uniqueName="5" name="recall" queryTableFieldId="5"/>
    <tableColumn id="6" xr3:uid="{BB30841E-12ED-46FD-88CD-D0F4B017D23A}" uniqueName="6" name="acc_test_vote" queryTableFieldId="6"/>
    <tableColumn id="7" xr3:uid="{39EE26AD-1F9C-4135-BFC6-6E3643508BC6}" uniqueName="7" name="f1_vote" queryTableFieldId="7"/>
    <tableColumn id="8" xr3:uid="{846E6021-3E5D-4ED8-9E46-87E81B90031A}" uniqueName="8" name="precision_vote" queryTableFieldId="8"/>
    <tableColumn id="9" xr3:uid="{6F0F235D-FE00-400A-AEA5-E8FD04408F00}" uniqueName="9" name="recall_vote" queryTableFieldId="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77B03924-4866-47FE-ABA3-4CC4B2CA7079}" name="whisper_log_last5_auto_no____2" displayName="whisper_log_last5_auto_no____2" ref="A1:I6" tableType="queryTable" totalsRowShown="0">
  <autoFilter ref="A1:I6" xr:uid="{77B03924-4866-47FE-ABA3-4CC4B2CA7079}"/>
  <tableColumns count="9">
    <tableColumn id="1" xr3:uid="{804D99CD-1768-49C0-BB40-D2DCF393C6A4}" uniqueName="1" name="seed" queryTableFieldId="1"/>
    <tableColumn id="2" xr3:uid="{9F1342F8-7E3D-4937-BF31-3B38BE97C9D7}" uniqueName="2" name="acc_test" queryTableFieldId="2"/>
    <tableColumn id="3" xr3:uid="{E4AFB191-10F4-429D-85F6-FA46C0DD3D41}" uniqueName="3" name="f1" queryTableFieldId="3"/>
    <tableColumn id="4" xr3:uid="{95E79060-D43F-45B7-BCFA-E04907C3C14A}" uniqueName="4" name="precision" queryTableFieldId="4"/>
    <tableColumn id="5" xr3:uid="{3C14FFD9-BDCF-4B2D-B79B-270FEB2C2463}" uniqueName="5" name="recall" queryTableFieldId="5"/>
    <tableColumn id="6" xr3:uid="{2DEBB754-E574-4EF9-AC5A-6BDA95EFC59A}" uniqueName="6" name="acc_test_vote" queryTableFieldId="6"/>
    <tableColumn id="7" xr3:uid="{FE53522E-3363-479C-9957-74DDFC6A3FD4}" uniqueName="7" name="f1_vote" queryTableFieldId="7"/>
    <tableColumn id="8" xr3:uid="{82C69A56-E4AA-405E-BF4F-25ABA26DCB4B}" uniqueName="8" name="precision_vote" queryTableFieldId="8"/>
    <tableColumn id="9" xr3:uid="{1F5F2738-7F75-4A1E-8866-70688DBA5C6A}" uniqueName="9" name="recall_vote" queryTableFieldId="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46DFDA2-55C7-4867-B2BD-E6089826C850}" name="whisper_log_last8_auto_no___1___3" displayName="whisper_log_last8_auto_no___1___3" ref="A1:I6" tableType="queryTable" totalsRowShown="0">
  <autoFilter ref="A1:I6" xr:uid="{B46DFDA2-55C7-4867-B2BD-E6089826C850}"/>
  <tableColumns count="9">
    <tableColumn id="1" xr3:uid="{4EB093DA-8320-489F-8353-EA036CA023A5}" uniqueName="1" name="seed" queryTableFieldId="1"/>
    <tableColumn id="2" xr3:uid="{0DE16C5C-1FAC-4B1E-9B1A-B0A55D4DAD55}" uniqueName="2" name="acc_test" queryTableFieldId="2"/>
    <tableColumn id="3" xr3:uid="{77B88543-2A82-433B-810F-5BA6AF78B564}" uniqueName="3" name="f1" queryTableFieldId="3"/>
    <tableColumn id="4" xr3:uid="{6A96939A-F104-4F4A-97A2-41B6E3F27467}" uniqueName="4" name="precision" queryTableFieldId="4"/>
    <tableColumn id="5" xr3:uid="{C59968D6-FACE-4D58-824D-7C8B9CC84394}" uniqueName="5" name="recall" queryTableFieldId="5"/>
    <tableColumn id="6" xr3:uid="{13E5277D-35E9-42E5-92F8-E20FE853AE90}" uniqueName="6" name="acc_test_vote" queryTableFieldId="6"/>
    <tableColumn id="7" xr3:uid="{3C1C8796-6967-40CC-B711-0124C5119D78}" uniqueName="7" name="f1_vote" queryTableFieldId="7"/>
    <tableColumn id="8" xr3:uid="{7FCC2E64-1748-4B8F-92BF-1D809E92BFC2}" uniqueName="8" name="precision_vote" queryTableFieldId="8"/>
    <tableColumn id="9" xr3:uid="{BD434484-5F97-4881-B2F4-BB9A3DCF5315}" uniqueName="9" name="recall_vote" queryTableFieldId="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C5EE7E0C-E7A9-4970-A95B-FA481FDD52CD}" name="whisper_log_last2_auto_no____2" displayName="whisper_log_last2_auto_no____2" ref="A1:I7" tableType="queryTable" totalsRowCount="1">
  <autoFilter ref="A1:I6" xr:uid="{C5EE7E0C-E7A9-4970-A95B-FA481FDD52CD}"/>
  <tableColumns count="9">
    <tableColumn id="1" xr3:uid="{C4C78FF1-59E9-4AFC-8A0F-72A393E7549C}" uniqueName="1" name="seed" queryTableFieldId="1"/>
    <tableColumn id="2" xr3:uid="{A5CD0597-516A-4586-9371-9FC06D10692B}" uniqueName="2" name="acc_test" totalsRowFunction="average" queryTableFieldId="2"/>
    <tableColumn id="3" xr3:uid="{21A6852A-DFDF-4308-BEC0-A79A6A344772}" uniqueName="3" name="f1" totalsRowFunction="average" queryTableFieldId="3"/>
    <tableColumn id="4" xr3:uid="{2EDFFFD2-EE89-416E-9672-17C3FDF6B7BD}" uniqueName="4" name="precision" totalsRowFunction="average" queryTableFieldId="4"/>
    <tableColumn id="5" xr3:uid="{428A6413-2097-44CE-AE6C-8C0A70FE440A}" uniqueName="5" name="recall" totalsRowFunction="average" queryTableFieldId="5"/>
    <tableColumn id="6" xr3:uid="{AC87E930-C436-4DFB-AA04-FD0C353B21AE}" uniqueName="6" name="acc_test_vote" totalsRowFunction="average" queryTableFieldId="6"/>
    <tableColumn id="7" xr3:uid="{6230D599-6E7F-4314-BA60-77284FBEC294}" uniqueName="7" name="f1_vote" totalsRowFunction="average" queryTableFieldId="7"/>
    <tableColumn id="8" xr3:uid="{2E9B8616-E420-4075-9ACE-D083A3A138AF}" uniqueName="8" name="precision_vote" totalsRowFunction="average" queryTableFieldId="8"/>
    <tableColumn id="9" xr3:uid="{FC2EAEA0-5716-4CE6-BC81-FF4460DABA60}" uniqueName="9" name="recall_vote" totalsRowFunction="average" queryTableFieldId="9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57DC394D-1776-4FC4-876D-2D76F535CC29}" name="whisper_log_last7_auto_no___1___3" displayName="whisper_log_last7_auto_no___1___3" ref="A1:I7" tableType="queryTable" totalsRowCount="1">
  <autoFilter ref="A1:I6" xr:uid="{57DC394D-1776-4FC4-876D-2D76F535CC29}"/>
  <tableColumns count="9">
    <tableColumn id="1" xr3:uid="{04D90713-118F-4351-A772-B10EFF0AA1D7}" uniqueName="1" name="seed" queryTableFieldId="1"/>
    <tableColumn id="2" xr3:uid="{A45B6329-E12B-4F5F-A31C-FA219FD695C0}" uniqueName="2" name="acc_test" totalsRowFunction="average" queryTableFieldId="2"/>
    <tableColumn id="3" xr3:uid="{0B892DAA-2000-4680-9E75-AAC9DE6F97F2}" uniqueName="3" name="f1" totalsRowFunction="average" queryTableFieldId="3"/>
    <tableColumn id="4" xr3:uid="{701333D7-BD8B-4960-AFAE-969D68D9E843}" uniqueName="4" name="precision" totalsRowFunction="average" queryTableFieldId="4"/>
    <tableColumn id="5" xr3:uid="{766766A7-5892-4293-B5D7-BDF9E016C138}" uniqueName="5" name="recall" totalsRowFunction="average" queryTableFieldId="5"/>
    <tableColumn id="6" xr3:uid="{9F5EAD0E-1023-43D7-B4F2-106F99CA0A6B}" uniqueName="6" name="acc_test_vote" totalsRowFunction="average" queryTableFieldId="6"/>
    <tableColumn id="7" xr3:uid="{C2BE11CD-EA38-432F-B781-82B193163C94}" uniqueName="7" name="f1_vote" totalsRowFunction="average" queryTableFieldId="7"/>
    <tableColumn id="8" xr3:uid="{C9670B60-FB81-4161-969C-63178F87D9B7}" uniqueName="8" name="precision_vote" totalsRowFunction="average" queryTableFieldId="8"/>
    <tableColumn id="9" xr3:uid="{79385847-701E-4468-A9AC-0A9CA47AA457}" uniqueName="9" name="recall_vote" totalsRowFunction="average" queryTableFieldId="9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19D36C30-3C7B-4ABA-B159-2620C95BA6BC}" name="whisper_log_last12_auto_no____2" displayName="whisper_log_last12_auto_no____2" ref="A1:I7" tableType="queryTable" totalsRowCount="1">
  <autoFilter ref="A1:I6" xr:uid="{19D36C30-3C7B-4ABA-B159-2620C95BA6BC}"/>
  <tableColumns count="9">
    <tableColumn id="1" xr3:uid="{C344A078-BA9D-41CB-9791-B0047210AD56}" uniqueName="1" name="seed" queryTableFieldId="1"/>
    <tableColumn id="2" xr3:uid="{BF19DD8F-28F5-4CA2-9180-FF9A5D177837}" uniqueName="2" name="acc_test" totalsRowFunction="average" queryTableFieldId="2"/>
    <tableColumn id="3" xr3:uid="{1466AD58-2D3D-4179-8D84-4A30A9318CE8}" uniqueName="3" name="f1" totalsRowFunction="average" queryTableFieldId="3"/>
    <tableColumn id="4" xr3:uid="{D6CE7EEE-5BAB-4DCE-A6CC-B7E1DECC348B}" uniqueName="4" name="precision" totalsRowFunction="average" queryTableFieldId="4"/>
    <tableColumn id="5" xr3:uid="{043DE12A-352C-4CDC-A227-B2B13303E253}" uniqueName="5" name="recall" totalsRowFunction="average" queryTableFieldId="5"/>
    <tableColumn id="6" xr3:uid="{FAB03217-205C-460B-903A-7A502F72A714}" uniqueName="6" name="acc_test_vote" totalsRowFunction="average" queryTableFieldId="6"/>
    <tableColumn id="7" xr3:uid="{04E2E020-4E05-4C26-B22B-B229667EE052}" uniqueName="7" name="f1_vote" totalsRowFunction="average" queryTableFieldId="7"/>
    <tableColumn id="8" xr3:uid="{5AEEBAC3-230B-4445-967A-472B4B14ECBC}" uniqueName="8" name="precision_vote" totalsRowFunction="average" queryTableFieldId="8"/>
    <tableColumn id="9" xr3:uid="{CE5EA806-E4C3-4921-BF7D-274D8C1B8737}" uniqueName="9" name="recall_vote" totalsRowFunction="average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9839D-4369-4B22-8F46-6B8B35AA122C}">
  <dimension ref="A1:I7"/>
  <sheetViews>
    <sheetView workbookViewId="0">
      <selection activeCell="G12" sqref="G12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0.83333333333333337</v>
      </c>
      <c r="C2">
        <v>0.85185185185185186</v>
      </c>
      <c r="D2">
        <v>0.80701754385964908</v>
      </c>
      <c r="E2">
        <v>0.90196078431372562</v>
      </c>
      <c r="F2">
        <v>0.83333333333333337</v>
      </c>
      <c r="G2">
        <v>0.83673469387755106</v>
      </c>
      <c r="H2">
        <v>0.87234042553191493</v>
      </c>
      <c r="I2">
        <v>0.80392156862745101</v>
      </c>
    </row>
    <row r="3" spans="1:9" x14ac:dyDescent="0.3">
      <c r="A3">
        <v>1002</v>
      </c>
      <c r="B3">
        <v>0.85416666666666663</v>
      </c>
      <c r="C3">
        <v>0.86274509803921573</v>
      </c>
      <c r="D3">
        <v>0.86274509803921573</v>
      </c>
      <c r="E3">
        <v>0.86274509803921573</v>
      </c>
      <c r="F3">
        <v>0.88541666666666663</v>
      </c>
      <c r="G3">
        <v>0.88421052631578945</v>
      </c>
      <c r="H3">
        <v>0.95454545454545459</v>
      </c>
      <c r="I3">
        <v>0.82352941176470584</v>
      </c>
    </row>
    <row r="4" spans="1:9" x14ac:dyDescent="0.3">
      <c r="A4">
        <v>1003</v>
      </c>
      <c r="B4">
        <v>0.8125</v>
      </c>
      <c r="C4">
        <v>0.83333333333333337</v>
      </c>
      <c r="D4">
        <v>0.78947368421052633</v>
      </c>
      <c r="E4">
        <v>0.88235294117647056</v>
      </c>
      <c r="F4">
        <v>0.85416666666666663</v>
      </c>
      <c r="G4">
        <v>0.86274509803921573</v>
      </c>
      <c r="H4">
        <v>0.86274509803921573</v>
      </c>
      <c r="I4">
        <v>0.86274509803921573</v>
      </c>
    </row>
    <row r="5" spans="1:9" x14ac:dyDescent="0.3">
      <c r="A5">
        <v>1004</v>
      </c>
      <c r="B5">
        <v>0.83333333333333337</v>
      </c>
      <c r="C5">
        <v>0.84615384615384615</v>
      </c>
      <c r="D5">
        <v>0.83018867924528306</v>
      </c>
      <c r="E5">
        <v>0.86274509803921573</v>
      </c>
      <c r="F5">
        <v>0.8125</v>
      </c>
      <c r="G5">
        <v>0.80851063829787229</v>
      </c>
      <c r="H5">
        <v>0.88372093023255816</v>
      </c>
      <c r="I5">
        <v>0.74509803921568629</v>
      </c>
    </row>
    <row r="6" spans="1:9" x14ac:dyDescent="0.3">
      <c r="A6">
        <v>1005</v>
      </c>
      <c r="B6">
        <v>0.82291666666666663</v>
      </c>
      <c r="C6">
        <v>0.84112149532710279</v>
      </c>
      <c r="D6">
        <v>0.8035714285714286</v>
      </c>
      <c r="E6">
        <v>0.88235294117647056</v>
      </c>
      <c r="F6">
        <v>0.85416666666666663</v>
      </c>
      <c r="G6">
        <v>0.86538461538461542</v>
      </c>
      <c r="H6">
        <v>0.84905660377358494</v>
      </c>
      <c r="I6">
        <v>0.88235294117647056</v>
      </c>
    </row>
    <row r="7" spans="1:9" x14ac:dyDescent="0.3">
      <c r="B7">
        <f>SUBTOTAL(101,whisper_log_last1_auto_no____3[acc_test])</f>
        <v>0.83125000000000004</v>
      </c>
      <c r="C7">
        <f>SUBTOTAL(101,whisper_log_last1_auto_no____3[f1])</f>
        <v>0.84704112494107009</v>
      </c>
      <c r="D7">
        <f>SUBTOTAL(101,whisper_log_last1_auto_no____3[precision])</f>
        <v>0.81859928678522054</v>
      </c>
      <c r="E7">
        <f>SUBTOTAL(101,whisper_log_last1_auto_no____3[recall])</f>
        <v>0.87843137254901971</v>
      </c>
      <c r="F7">
        <f>SUBTOTAL(101,whisper_log_last1_auto_no____3[acc_test_vote])</f>
        <v>0.84791666666666665</v>
      </c>
      <c r="G7">
        <f>SUBTOTAL(101,whisper_log_last1_auto_no____3[f1_vote])</f>
        <v>0.85151711438300881</v>
      </c>
      <c r="H7">
        <f>SUBTOTAL(101,whisper_log_last1_auto_no____3[precision_vote])</f>
        <v>0.8844817024245456</v>
      </c>
      <c r="I7">
        <f>SUBTOTAL(101,whisper_log_last1_auto_no____3[recall_vote])</f>
        <v>0.82352941176470584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04C59-6D00-402D-9B03-B572C021C154}">
  <sheetPr codeName="Sheet2"/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0.6875</v>
      </c>
      <c r="C2">
        <v>0.72222222222222221</v>
      </c>
      <c r="D2">
        <v>0.68421052631578949</v>
      </c>
      <c r="E2">
        <v>0.76470588235294112</v>
      </c>
      <c r="F2">
        <v>0.6875</v>
      </c>
      <c r="G2">
        <v>0.70588235294117652</v>
      </c>
      <c r="H2">
        <v>0.70588235294117652</v>
      </c>
      <c r="I2">
        <v>0.70588235294117652</v>
      </c>
    </row>
    <row r="3" spans="1:9" x14ac:dyDescent="0.3">
      <c r="A3">
        <v>1002</v>
      </c>
      <c r="B3">
        <v>0.70833333333333337</v>
      </c>
      <c r="C3">
        <v>0.73076923076923073</v>
      </c>
      <c r="D3">
        <v>0.71698113207547165</v>
      </c>
      <c r="E3">
        <v>0.74509803921568629</v>
      </c>
      <c r="F3">
        <v>0.71875</v>
      </c>
      <c r="G3">
        <v>0.73267326732673266</v>
      </c>
      <c r="H3">
        <v>0.74</v>
      </c>
      <c r="I3">
        <v>0.72549019607843135</v>
      </c>
    </row>
    <row r="4" spans="1:9" x14ac:dyDescent="0.3">
      <c r="A4">
        <v>1003</v>
      </c>
      <c r="B4">
        <v>0.65625</v>
      </c>
      <c r="C4">
        <v>0.69158878504672894</v>
      </c>
      <c r="D4">
        <v>0.6607142857142857</v>
      </c>
      <c r="E4">
        <v>0.72549019607843135</v>
      </c>
      <c r="F4">
        <v>0.69791666666666663</v>
      </c>
      <c r="G4">
        <v>0.71287128712871284</v>
      </c>
      <c r="H4">
        <v>0.72</v>
      </c>
      <c r="I4">
        <v>0.70588235294117652</v>
      </c>
    </row>
    <row r="5" spans="1:9" x14ac:dyDescent="0.3">
      <c r="A5">
        <v>1004</v>
      </c>
      <c r="B5">
        <v>0.67708333333333337</v>
      </c>
      <c r="C5">
        <v>0.71028037383177567</v>
      </c>
      <c r="D5">
        <v>0.6785714285714286</v>
      </c>
      <c r="E5">
        <v>0.74509803921568629</v>
      </c>
      <c r="F5">
        <v>0.70833333333333337</v>
      </c>
      <c r="G5">
        <v>0.72549019607843135</v>
      </c>
      <c r="H5">
        <v>0.72549019607843135</v>
      </c>
      <c r="I5">
        <v>0.72549019607843135</v>
      </c>
    </row>
    <row r="6" spans="1:9" x14ac:dyDescent="0.3">
      <c r="A6">
        <v>1005</v>
      </c>
      <c r="B6">
        <v>0.69791666666666663</v>
      </c>
      <c r="C6">
        <v>0.73394495412844041</v>
      </c>
      <c r="D6">
        <v>0.68965517241379315</v>
      </c>
      <c r="E6">
        <v>0.78431372549019607</v>
      </c>
      <c r="F6">
        <v>0.72916666666666663</v>
      </c>
      <c r="G6">
        <v>0.74</v>
      </c>
      <c r="H6">
        <v>0.75510204081632648</v>
      </c>
      <c r="I6">
        <v>0.72549019607843135</v>
      </c>
    </row>
    <row r="7" spans="1:9" x14ac:dyDescent="0.3">
      <c r="B7">
        <f>AVERAGE(B2:B6)</f>
        <v>0.68541666666666667</v>
      </c>
      <c r="C7">
        <f t="shared" ref="C7:I7" si="0">AVERAGE(C2:C6)</f>
        <v>0.71776111319967961</v>
      </c>
      <c r="D7">
        <f t="shared" si="0"/>
        <v>0.68602650901815376</v>
      </c>
      <c r="E7">
        <f t="shared" si="0"/>
        <v>0.75294117647058822</v>
      </c>
      <c r="F7">
        <f t="shared" si="0"/>
        <v>0.70833333333333326</v>
      </c>
      <c r="G7">
        <f t="shared" si="0"/>
        <v>0.72338342069501071</v>
      </c>
      <c r="H7">
        <f t="shared" si="0"/>
        <v>0.72929491796718682</v>
      </c>
      <c r="I7">
        <f t="shared" si="0"/>
        <v>0.71764705882352942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0F8E5-3ECF-4BD6-AA6E-1C4FE2595C4D}">
  <sheetPr codeName="Sheet3"/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0.71875</v>
      </c>
      <c r="C2">
        <v>0.75229357798165142</v>
      </c>
      <c r="D2">
        <v>0.7068965517241379</v>
      </c>
      <c r="E2">
        <v>0.80392156862745101</v>
      </c>
      <c r="F2">
        <v>0.69791666666666663</v>
      </c>
      <c r="G2">
        <v>0.71844660194174759</v>
      </c>
      <c r="H2">
        <v>0.71153846153846156</v>
      </c>
      <c r="I2">
        <v>0.72549019607843135</v>
      </c>
    </row>
    <row r="3" spans="1:9" x14ac:dyDescent="0.3">
      <c r="A3">
        <v>1002</v>
      </c>
      <c r="B3">
        <v>0.69791666666666663</v>
      </c>
      <c r="C3">
        <v>0.72380952380952379</v>
      </c>
      <c r="D3">
        <v>0.70370370370370372</v>
      </c>
      <c r="E3">
        <v>0.74509803921568629</v>
      </c>
      <c r="F3">
        <v>0.71875</v>
      </c>
      <c r="G3">
        <v>0.72164948453608246</v>
      </c>
      <c r="H3">
        <v>0.76086956521739135</v>
      </c>
      <c r="I3">
        <v>0.68627450980392157</v>
      </c>
    </row>
    <row r="4" spans="1:9" x14ac:dyDescent="0.3">
      <c r="A4">
        <v>1003</v>
      </c>
      <c r="B4">
        <v>0.75</v>
      </c>
      <c r="C4">
        <v>0.77358490566037741</v>
      </c>
      <c r="D4">
        <v>0.74545454545454548</v>
      </c>
      <c r="E4">
        <v>0.80392156862745101</v>
      </c>
      <c r="F4">
        <v>0.77083333333333337</v>
      </c>
      <c r="G4">
        <v>0.78431372549019607</v>
      </c>
      <c r="H4">
        <v>0.78431372549019607</v>
      </c>
      <c r="I4">
        <v>0.78431372549019607</v>
      </c>
    </row>
    <row r="5" spans="1:9" x14ac:dyDescent="0.3">
      <c r="A5">
        <v>1004</v>
      </c>
      <c r="B5">
        <v>0.6875</v>
      </c>
      <c r="C5">
        <v>0.72727272727272729</v>
      </c>
      <c r="D5">
        <v>0.67796610169491522</v>
      </c>
      <c r="E5">
        <v>0.78431372549019607</v>
      </c>
      <c r="F5">
        <v>0.73958333333333337</v>
      </c>
      <c r="G5">
        <v>0.75247524752475248</v>
      </c>
      <c r="H5">
        <v>0.76</v>
      </c>
      <c r="I5">
        <v>0.74509803921568629</v>
      </c>
    </row>
    <row r="6" spans="1:9" x14ac:dyDescent="0.3">
      <c r="A6">
        <v>1005</v>
      </c>
      <c r="B6">
        <v>0.76041666666666663</v>
      </c>
      <c r="C6">
        <v>0.78095238095238095</v>
      </c>
      <c r="D6">
        <v>0.7592592592592593</v>
      </c>
      <c r="E6">
        <v>0.80392156862745101</v>
      </c>
      <c r="F6">
        <v>0.73958333333333337</v>
      </c>
      <c r="G6">
        <v>0.74226804123711343</v>
      </c>
      <c r="H6">
        <v>0.78260869565217395</v>
      </c>
      <c r="I6">
        <v>0.70588235294117652</v>
      </c>
    </row>
    <row r="7" spans="1:9" x14ac:dyDescent="0.3">
      <c r="B7">
        <f>AVERAGE(B2:B6)</f>
        <v>0.72291666666666665</v>
      </c>
      <c r="C7">
        <f t="shared" ref="C7:I7" si="0">AVERAGE(C2:C6)</f>
        <v>0.75158262313533208</v>
      </c>
      <c r="D7">
        <f t="shared" si="0"/>
        <v>0.71865603236731235</v>
      </c>
      <c r="E7">
        <f t="shared" si="0"/>
        <v>0.78823529411764715</v>
      </c>
      <c r="F7">
        <f t="shared" si="0"/>
        <v>0.73333333333333339</v>
      </c>
      <c r="G7">
        <f t="shared" si="0"/>
        <v>0.74383062014597845</v>
      </c>
      <c r="H7">
        <f t="shared" si="0"/>
        <v>0.75986608957964452</v>
      </c>
      <c r="I7">
        <f t="shared" si="0"/>
        <v>0.72941176470588232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6F30-195E-4780-A1EB-CEE7A6D81502}">
  <sheetPr codeName="Sheet4"/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0.71875</v>
      </c>
      <c r="C2">
        <v>0.74766355140186913</v>
      </c>
      <c r="D2">
        <v>0.7142857142857143</v>
      </c>
      <c r="E2">
        <v>0.78431372549019607</v>
      </c>
      <c r="F2">
        <v>0.79166666666666663</v>
      </c>
      <c r="G2">
        <v>0.79591836734693877</v>
      </c>
      <c r="H2">
        <v>0.82978723404255317</v>
      </c>
      <c r="I2">
        <v>0.76470588235294112</v>
      </c>
    </row>
    <row r="3" spans="1:9" x14ac:dyDescent="0.3">
      <c r="A3">
        <v>1002</v>
      </c>
      <c r="B3">
        <v>0.75</v>
      </c>
      <c r="C3">
        <v>0.77777777777777779</v>
      </c>
      <c r="D3">
        <v>0.73684210526315785</v>
      </c>
      <c r="E3">
        <v>0.82352941176470584</v>
      </c>
      <c r="F3">
        <v>0.80208333333333337</v>
      </c>
      <c r="G3">
        <v>0.8</v>
      </c>
      <c r="H3">
        <v>0.86363636363636365</v>
      </c>
      <c r="I3">
        <v>0.74509803921568629</v>
      </c>
    </row>
    <row r="4" spans="1:9" x14ac:dyDescent="0.3">
      <c r="A4">
        <v>1003</v>
      </c>
      <c r="B4">
        <v>0.72916666666666663</v>
      </c>
      <c r="C4">
        <v>0.75</v>
      </c>
      <c r="D4">
        <v>0.73584905660377353</v>
      </c>
      <c r="E4">
        <v>0.76470588235294112</v>
      </c>
      <c r="F4">
        <v>0.73958333333333337</v>
      </c>
      <c r="G4">
        <v>0.74226804123711343</v>
      </c>
      <c r="H4">
        <v>0.78260869565217395</v>
      </c>
      <c r="I4">
        <v>0.70588235294117652</v>
      </c>
    </row>
    <row r="5" spans="1:9" x14ac:dyDescent="0.3">
      <c r="A5">
        <v>1004</v>
      </c>
      <c r="B5">
        <v>0.71875</v>
      </c>
      <c r="C5">
        <v>0.73786407766990292</v>
      </c>
      <c r="D5">
        <v>0.73076923076923073</v>
      </c>
      <c r="E5">
        <v>0.74509803921568629</v>
      </c>
      <c r="F5">
        <v>0.76041666666666663</v>
      </c>
      <c r="G5">
        <v>0.75789473684210529</v>
      </c>
      <c r="H5">
        <v>0.81818181818181823</v>
      </c>
      <c r="I5">
        <v>0.70588235294117652</v>
      </c>
    </row>
    <row r="6" spans="1:9" x14ac:dyDescent="0.3">
      <c r="A6">
        <v>1005</v>
      </c>
      <c r="B6">
        <v>0.75</v>
      </c>
      <c r="C6">
        <v>0.77358490566037741</v>
      </c>
      <c r="D6">
        <v>0.74545454545454548</v>
      </c>
      <c r="E6">
        <v>0.80392156862745101</v>
      </c>
      <c r="F6">
        <v>0.76041666666666663</v>
      </c>
      <c r="G6">
        <v>0.7722772277227723</v>
      </c>
      <c r="H6">
        <v>0.78</v>
      </c>
      <c r="I6">
        <v>0.76470588235294112</v>
      </c>
    </row>
    <row r="7" spans="1:9" x14ac:dyDescent="0.3">
      <c r="B7">
        <f>AVERAGE(B2:B6)</f>
        <v>0.73333333333333328</v>
      </c>
      <c r="C7">
        <f t="shared" ref="C7:I7" si="0">AVERAGE(C2:C6)</f>
        <v>0.75737806250198547</v>
      </c>
      <c r="D7">
        <f t="shared" si="0"/>
        <v>0.73264013047528442</v>
      </c>
      <c r="E7">
        <f t="shared" si="0"/>
        <v>0.78431372549019618</v>
      </c>
      <c r="F7">
        <f t="shared" si="0"/>
        <v>0.77083333333333326</v>
      </c>
      <c r="G7">
        <f t="shared" si="0"/>
        <v>0.77367167462978603</v>
      </c>
      <c r="H7">
        <f t="shared" si="0"/>
        <v>0.81484282230258176</v>
      </c>
      <c r="I7">
        <f t="shared" si="0"/>
        <v>0.73725490196078436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5D224-2076-4B61-AA2D-9EB48C8C45D5}">
  <dimension ref="A1:I7"/>
  <sheetViews>
    <sheetView topLeftCell="C1"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0.80281690140845074</v>
      </c>
      <c r="C2">
        <v>0.79411764705882348</v>
      </c>
      <c r="D2">
        <v>0.81818181818181823</v>
      </c>
      <c r="E2">
        <v>0.77142857142857146</v>
      </c>
      <c r="F2">
        <v>0.81690140845070425</v>
      </c>
      <c r="G2">
        <v>0.79365079365079361</v>
      </c>
      <c r="H2">
        <v>0.8928571428571429</v>
      </c>
      <c r="I2">
        <v>0.7142857142857143</v>
      </c>
    </row>
    <row r="3" spans="1:9" x14ac:dyDescent="0.3">
      <c r="A3">
        <v>1002</v>
      </c>
      <c r="B3">
        <v>0.77464788732394363</v>
      </c>
      <c r="C3">
        <v>0.76470588235294112</v>
      </c>
      <c r="D3">
        <v>0.78787878787878785</v>
      </c>
      <c r="E3">
        <v>0.74285714285714288</v>
      </c>
      <c r="F3">
        <v>0.80281690140845074</v>
      </c>
      <c r="G3">
        <v>0.78125</v>
      </c>
      <c r="H3">
        <v>0.86206896551724133</v>
      </c>
      <c r="I3">
        <v>0.7142857142857143</v>
      </c>
    </row>
    <row r="4" spans="1:9" x14ac:dyDescent="0.3">
      <c r="A4">
        <v>1003</v>
      </c>
      <c r="B4">
        <v>0.80281690140845074</v>
      </c>
      <c r="C4">
        <v>0.78125</v>
      </c>
      <c r="D4">
        <v>0.86206896551724133</v>
      </c>
      <c r="E4">
        <v>0.7142857142857143</v>
      </c>
      <c r="F4">
        <v>0.81690140845070425</v>
      </c>
      <c r="G4">
        <v>0.78688524590163933</v>
      </c>
      <c r="H4">
        <v>0.92307692307692324</v>
      </c>
      <c r="I4">
        <v>0.68571428571428572</v>
      </c>
    </row>
    <row r="5" spans="1:9" x14ac:dyDescent="0.3">
      <c r="A5">
        <v>1004</v>
      </c>
      <c r="B5">
        <v>0.80281690140845074</v>
      </c>
      <c r="C5">
        <v>0.8</v>
      </c>
      <c r="D5">
        <v>0.8</v>
      </c>
      <c r="E5">
        <v>0.8</v>
      </c>
      <c r="F5">
        <v>0.81690140845070425</v>
      </c>
      <c r="G5">
        <v>0.8</v>
      </c>
      <c r="H5">
        <v>0.8666666666666667</v>
      </c>
      <c r="I5">
        <v>0.74285714285714288</v>
      </c>
    </row>
    <row r="6" spans="1:9" x14ac:dyDescent="0.3">
      <c r="A6">
        <v>1005</v>
      </c>
      <c r="B6">
        <v>0.77464788732394363</v>
      </c>
      <c r="C6">
        <v>0.76470588235294112</v>
      </c>
      <c r="D6">
        <v>0.78787878787878785</v>
      </c>
      <c r="E6">
        <v>0.74285714285714288</v>
      </c>
      <c r="F6">
        <v>0.80281690140845074</v>
      </c>
      <c r="G6">
        <v>0.78125</v>
      </c>
      <c r="H6">
        <v>0.86206896551724133</v>
      </c>
      <c r="I6">
        <v>0.7142857142857143</v>
      </c>
    </row>
    <row r="7" spans="1:9" x14ac:dyDescent="0.3">
      <c r="B7">
        <f>AVERAGE(B2:B6)</f>
        <v>0.79154929577464794</v>
      </c>
      <c r="C7">
        <f t="shared" ref="C7:I7" si="0">AVERAGE(C2:C6)</f>
        <v>0.78095588235294111</v>
      </c>
      <c r="D7">
        <f t="shared" si="0"/>
        <v>0.81120167189132708</v>
      </c>
      <c r="E7">
        <f t="shared" si="0"/>
        <v>0.75428571428571423</v>
      </c>
      <c r="F7">
        <f t="shared" si="0"/>
        <v>0.81126760563380285</v>
      </c>
      <c r="G7">
        <f t="shared" si="0"/>
        <v>0.78860720791048655</v>
      </c>
      <c r="H7">
        <f t="shared" si="0"/>
        <v>0.88134773272704314</v>
      </c>
      <c r="I7">
        <f t="shared" si="0"/>
        <v>0.7142857142857143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BC5B-B277-466B-8B72-8F3A452F8071}">
  <dimension ref="A1:I7"/>
  <sheetViews>
    <sheetView topLeftCell="C1"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0.79166666666666663</v>
      </c>
      <c r="C2">
        <v>0.81481481481481477</v>
      </c>
      <c r="D2">
        <v>0.77192982456140347</v>
      </c>
      <c r="E2">
        <v>0.86274509803921573</v>
      </c>
      <c r="F2">
        <v>0.84375</v>
      </c>
      <c r="G2">
        <v>0.85148514851485146</v>
      </c>
      <c r="H2">
        <v>0.86</v>
      </c>
      <c r="I2">
        <v>0.84313725490196079</v>
      </c>
    </row>
    <row r="3" spans="1:9" x14ac:dyDescent="0.3">
      <c r="A3">
        <v>1002</v>
      </c>
      <c r="B3">
        <v>0.76041666666666663</v>
      </c>
      <c r="C3">
        <v>0.78899082568807344</v>
      </c>
      <c r="D3">
        <v>0.74137931034482762</v>
      </c>
      <c r="E3">
        <v>0.84313725490196079</v>
      </c>
      <c r="F3">
        <v>0.80208333333333337</v>
      </c>
      <c r="G3">
        <v>0.81188118811881194</v>
      </c>
      <c r="H3">
        <v>0.82</v>
      </c>
      <c r="I3">
        <v>0.80392156862745101</v>
      </c>
    </row>
    <row r="4" spans="1:9" x14ac:dyDescent="0.3">
      <c r="A4">
        <v>1003</v>
      </c>
      <c r="B4">
        <v>0.8125</v>
      </c>
      <c r="C4">
        <v>0.83333333333333337</v>
      </c>
      <c r="D4">
        <v>0.78947368421052633</v>
      </c>
      <c r="E4">
        <v>0.88235294117647056</v>
      </c>
      <c r="F4">
        <v>0.85416666666666663</v>
      </c>
      <c r="G4">
        <v>0.86538461538461542</v>
      </c>
      <c r="H4">
        <v>0.84905660377358494</v>
      </c>
      <c r="I4">
        <v>0.88235294117647056</v>
      </c>
    </row>
    <row r="5" spans="1:9" x14ac:dyDescent="0.3">
      <c r="A5">
        <v>1004</v>
      </c>
      <c r="B5">
        <v>0.82291666666666663</v>
      </c>
      <c r="C5">
        <v>0.84112149532710279</v>
      </c>
      <c r="D5">
        <v>0.8035714285714286</v>
      </c>
      <c r="E5">
        <v>0.88235294117647056</v>
      </c>
      <c r="F5">
        <v>0.84375</v>
      </c>
      <c r="G5">
        <v>0.84848484848484851</v>
      </c>
      <c r="H5">
        <v>0.875</v>
      </c>
      <c r="I5">
        <v>0.82352941176470584</v>
      </c>
    </row>
    <row r="6" spans="1:9" x14ac:dyDescent="0.3">
      <c r="A6">
        <v>1005</v>
      </c>
      <c r="B6">
        <v>0.84375</v>
      </c>
      <c r="C6">
        <v>0.8571428571428571</v>
      </c>
      <c r="D6">
        <v>0.83333333333333337</v>
      </c>
      <c r="E6">
        <v>0.88235294117647056</v>
      </c>
      <c r="F6">
        <v>0.82291666666666663</v>
      </c>
      <c r="G6">
        <v>0.82474226804123707</v>
      </c>
      <c r="H6">
        <v>0.86956521739130432</v>
      </c>
      <c r="I6">
        <v>0.78431372549019607</v>
      </c>
    </row>
    <row r="7" spans="1:9" x14ac:dyDescent="0.3">
      <c r="B7">
        <f>SUBTOTAL(101,whisper_log_last4_auto_no___1[acc_test])</f>
        <v>0.80625000000000002</v>
      </c>
      <c r="C7">
        <f>SUBTOTAL(101,whisper_log_last4_auto_no___1[f1])</f>
        <v>0.82708066526123625</v>
      </c>
      <c r="D7">
        <f>SUBTOTAL(101,whisper_log_last4_auto_no___1[precision])</f>
        <v>0.78793751620430386</v>
      </c>
      <c r="E7">
        <f>SUBTOTAL(101,whisper_log_last4_auto_no___1[recall])</f>
        <v>0.87058823529411777</v>
      </c>
      <c r="F7">
        <f>SUBTOTAL(101,whisper_log_last4_auto_no___1[acc_test_vote])</f>
        <v>0.83333333333333337</v>
      </c>
      <c r="G7">
        <f>SUBTOTAL(101,whisper_log_last4_auto_no___1[f1_vote])</f>
        <v>0.84039561370887284</v>
      </c>
      <c r="H7">
        <f>SUBTOTAL(101,whisper_log_last4_auto_no___1[precision_vote])</f>
        <v>0.85472436423297782</v>
      </c>
      <c r="I7">
        <f>SUBTOTAL(101,whisper_log_last4_auto_no___1[recall_vote])</f>
        <v>0.82745098039215681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1925D-D907-47C8-B2FC-2FD086FFEDB3}">
  <dimension ref="A1:I7"/>
  <sheetViews>
    <sheetView workbookViewId="0">
      <selection activeCell="F11" sqref="F11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0.83333333333333337</v>
      </c>
      <c r="C2">
        <v>0.84615384615384615</v>
      </c>
      <c r="D2">
        <v>0.83018867924528306</v>
      </c>
      <c r="E2">
        <v>0.86274509803921573</v>
      </c>
      <c r="F2">
        <v>0.84375</v>
      </c>
      <c r="G2">
        <v>0.84210526315789469</v>
      </c>
      <c r="H2">
        <v>0.90909090909090917</v>
      </c>
      <c r="I2">
        <v>0.78431372549019607</v>
      </c>
    </row>
    <row r="3" spans="1:9" x14ac:dyDescent="0.3">
      <c r="A3">
        <v>1002</v>
      </c>
      <c r="B3">
        <v>0.83333333333333337</v>
      </c>
      <c r="C3">
        <v>0.85185185185185186</v>
      </c>
      <c r="D3">
        <v>0.80701754385964908</v>
      </c>
      <c r="E3">
        <v>0.90196078431372562</v>
      </c>
      <c r="F3">
        <v>0.83333333333333337</v>
      </c>
      <c r="G3">
        <v>0.83673469387755106</v>
      </c>
      <c r="H3">
        <v>0.87234042553191493</v>
      </c>
      <c r="I3">
        <v>0.80392156862745101</v>
      </c>
    </row>
    <row r="4" spans="1:9" x14ac:dyDescent="0.3">
      <c r="A4">
        <v>1003</v>
      </c>
      <c r="B4">
        <v>0.8125</v>
      </c>
      <c r="C4">
        <v>0.82692307692307687</v>
      </c>
      <c r="D4">
        <v>0.81132075471698117</v>
      </c>
      <c r="E4">
        <v>0.84313725490196079</v>
      </c>
      <c r="F4">
        <v>0.8125</v>
      </c>
      <c r="G4">
        <v>0.80851063829787229</v>
      </c>
      <c r="H4">
        <v>0.88372093023255816</v>
      </c>
      <c r="I4">
        <v>0.74509803921568629</v>
      </c>
    </row>
    <row r="5" spans="1:9" x14ac:dyDescent="0.3">
      <c r="A5">
        <v>1004</v>
      </c>
      <c r="B5">
        <v>0.82291666666666663</v>
      </c>
      <c r="C5">
        <v>0.84403669724770647</v>
      </c>
      <c r="D5">
        <v>0.7931034482758621</v>
      </c>
      <c r="E5">
        <v>0.90196078431372562</v>
      </c>
      <c r="F5">
        <v>0.83333333333333337</v>
      </c>
      <c r="G5">
        <v>0.83673469387755106</v>
      </c>
      <c r="H5">
        <v>0.87234042553191493</v>
      </c>
      <c r="I5">
        <v>0.80392156862745101</v>
      </c>
    </row>
    <row r="6" spans="1:9" x14ac:dyDescent="0.3">
      <c r="A6">
        <v>1005</v>
      </c>
      <c r="B6">
        <v>0.82291666666666663</v>
      </c>
      <c r="C6">
        <v>0.84112149532710279</v>
      </c>
      <c r="D6">
        <v>0.8035714285714286</v>
      </c>
      <c r="E6">
        <v>0.88235294117647056</v>
      </c>
      <c r="F6">
        <v>0.83333333333333337</v>
      </c>
      <c r="G6">
        <v>0.84</v>
      </c>
      <c r="H6">
        <v>0.8571428571428571</v>
      </c>
      <c r="I6">
        <v>0.82352941176470584</v>
      </c>
    </row>
    <row r="7" spans="1:9" x14ac:dyDescent="0.3">
      <c r="B7">
        <f>AVERAGE(B2:B6)</f>
        <v>0.82499999999999996</v>
      </c>
      <c r="C7">
        <f t="shared" ref="C7:I7" si="0">AVERAGE(C2:C6)</f>
        <v>0.84201739350071692</v>
      </c>
      <c r="D7">
        <f t="shared" si="0"/>
        <v>0.80904037093384085</v>
      </c>
      <c r="E7">
        <f t="shared" si="0"/>
        <v>0.87843137254901971</v>
      </c>
      <c r="F7">
        <f t="shared" si="0"/>
        <v>0.83125000000000004</v>
      </c>
      <c r="G7">
        <f t="shared" si="0"/>
        <v>0.83281705784217375</v>
      </c>
      <c r="H7">
        <f t="shared" si="0"/>
        <v>0.8789271095060307</v>
      </c>
      <c r="I7">
        <f t="shared" si="0"/>
        <v>0.79215686274509811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702DA-B623-461B-9C87-AA1A6EDCAE7C}">
  <dimension ref="A1:I7"/>
  <sheetViews>
    <sheetView workbookViewId="0">
      <selection activeCell="F11" sqref="F11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0.79166666666666663</v>
      </c>
      <c r="C2">
        <v>0.8214285714285714</v>
      </c>
      <c r="D2">
        <v>0.75409836065573765</v>
      </c>
      <c r="E2">
        <v>0.90196078431372562</v>
      </c>
      <c r="F2">
        <v>0.83333333333333337</v>
      </c>
      <c r="G2">
        <v>0.84615384615384615</v>
      </c>
      <c r="H2">
        <v>0.83018867924528306</v>
      </c>
      <c r="I2">
        <v>0.86274509803921573</v>
      </c>
    </row>
    <row r="3" spans="1:9" x14ac:dyDescent="0.3">
      <c r="A3">
        <v>1002</v>
      </c>
      <c r="B3">
        <v>0.79166666666666663</v>
      </c>
      <c r="C3">
        <v>0.81818181818181823</v>
      </c>
      <c r="D3">
        <v>0.76271186440677963</v>
      </c>
      <c r="E3">
        <v>0.88235294117647056</v>
      </c>
      <c r="F3">
        <v>0.82291666666666663</v>
      </c>
      <c r="G3">
        <v>0.83495145631067957</v>
      </c>
      <c r="H3">
        <v>0.82692307692307687</v>
      </c>
      <c r="I3">
        <v>0.84313725490196079</v>
      </c>
    </row>
    <row r="4" spans="1:9" x14ac:dyDescent="0.3">
      <c r="A4">
        <v>1003</v>
      </c>
      <c r="B4">
        <v>0.82291666666666663</v>
      </c>
      <c r="C4">
        <v>0.84403669724770647</v>
      </c>
      <c r="D4">
        <v>0.7931034482758621</v>
      </c>
      <c r="E4">
        <v>0.90196078431372562</v>
      </c>
      <c r="F4">
        <v>0.84375</v>
      </c>
      <c r="G4">
        <v>0.85148514851485146</v>
      </c>
      <c r="H4">
        <v>0.86</v>
      </c>
      <c r="I4">
        <v>0.84313725490196079</v>
      </c>
    </row>
    <row r="5" spans="1:9" x14ac:dyDescent="0.3">
      <c r="A5">
        <v>1004</v>
      </c>
      <c r="B5">
        <v>0.80208333333333337</v>
      </c>
      <c r="C5">
        <v>0.8288288288288288</v>
      </c>
      <c r="D5">
        <v>0.76666666666666672</v>
      </c>
      <c r="E5">
        <v>0.90196078431372562</v>
      </c>
      <c r="F5">
        <v>0.875</v>
      </c>
      <c r="G5">
        <v>0.88</v>
      </c>
      <c r="H5">
        <v>0.89795918367346939</v>
      </c>
      <c r="I5">
        <v>0.86274509803921573</v>
      </c>
    </row>
    <row r="6" spans="1:9" x14ac:dyDescent="0.3">
      <c r="A6">
        <v>1005</v>
      </c>
      <c r="B6">
        <v>0.82291666666666663</v>
      </c>
      <c r="C6">
        <v>0.83495145631067957</v>
      </c>
      <c r="D6">
        <v>0.82692307692307687</v>
      </c>
      <c r="E6">
        <v>0.84313725490196079</v>
      </c>
      <c r="F6">
        <v>0.83333333333333337</v>
      </c>
      <c r="G6">
        <v>0.83673469387755106</v>
      </c>
      <c r="H6">
        <v>0.87234042553191493</v>
      </c>
      <c r="I6">
        <v>0.80392156862745101</v>
      </c>
    </row>
    <row r="7" spans="1:9" x14ac:dyDescent="0.3">
      <c r="B7">
        <f>AVERAGE(B2:B6)</f>
        <v>0.80625000000000002</v>
      </c>
      <c r="C7">
        <f t="shared" ref="C7:I7" si="0">AVERAGE(C2:C6)</f>
        <v>0.82948547439952092</v>
      </c>
      <c r="D7">
        <f t="shared" si="0"/>
        <v>0.78070068338562459</v>
      </c>
      <c r="E7">
        <f t="shared" si="0"/>
        <v>0.88627450980392164</v>
      </c>
      <c r="F7">
        <f t="shared" si="0"/>
        <v>0.84166666666666656</v>
      </c>
      <c r="G7">
        <f t="shared" si="0"/>
        <v>0.84986502897138561</v>
      </c>
      <c r="H7">
        <f t="shared" si="0"/>
        <v>0.85748227307474889</v>
      </c>
      <c r="I7">
        <f t="shared" si="0"/>
        <v>0.84313725490196079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BC14-EDE7-4893-B7DA-4F4A44B92031}">
  <dimension ref="A1:I7"/>
  <sheetViews>
    <sheetView workbookViewId="0">
      <selection activeCell="F11" sqref="F11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0.77083333333333337</v>
      </c>
      <c r="C2">
        <v>0.8035714285714286</v>
      </c>
      <c r="D2">
        <v>0.73770491803278693</v>
      </c>
      <c r="E2">
        <v>0.88235294117647056</v>
      </c>
      <c r="F2">
        <v>0.80208333333333337</v>
      </c>
      <c r="G2">
        <v>0.81904761904761902</v>
      </c>
      <c r="H2">
        <v>0.79629629629629628</v>
      </c>
      <c r="I2">
        <v>0.84313725490196079</v>
      </c>
    </row>
    <row r="3" spans="1:9" x14ac:dyDescent="0.3">
      <c r="A3">
        <v>1002</v>
      </c>
      <c r="B3">
        <v>0.83333333333333337</v>
      </c>
      <c r="C3">
        <v>0.84905660377358494</v>
      </c>
      <c r="D3">
        <v>0.81818181818181823</v>
      </c>
      <c r="E3">
        <v>0.88235294117647056</v>
      </c>
      <c r="F3">
        <v>0.84375</v>
      </c>
      <c r="G3">
        <v>0.85436893203883491</v>
      </c>
      <c r="H3">
        <v>0.84615384615384615</v>
      </c>
      <c r="I3">
        <v>0.86274509803921573</v>
      </c>
    </row>
    <row r="4" spans="1:9" x14ac:dyDescent="0.3">
      <c r="A4">
        <v>1003</v>
      </c>
      <c r="B4">
        <v>0.82291666666666663</v>
      </c>
      <c r="C4">
        <v>0.84112149532710279</v>
      </c>
      <c r="D4">
        <v>0.8035714285714286</v>
      </c>
      <c r="E4">
        <v>0.88235294117647056</v>
      </c>
      <c r="F4">
        <v>0.83333333333333337</v>
      </c>
      <c r="G4">
        <v>0.84</v>
      </c>
      <c r="H4">
        <v>0.8571428571428571</v>
      </c>
      <c r="I4">
        <v>0.82352941176470584</v>
      </c>
    </row>
    <row r="5" spans="1:9" x14ac:dyDescent="0.3">
      <c r="A5">
        <v>1004</v>
      </c>
      <c r="B5">
        <v>0.84375</v>
      </c>
      <c r="C5">
        <v>0.86238532110091748</v>
      </c>
      <c r="D5">
        <v>0.81034482758620685</v>
      </c>
      <c r="E5">
        <v>0.92156862745098045</v>
      </c>
      <c r="F5">
        <v>0.83333333333333337</v>
      </c>
      <c r="G5">
        <v>0.84313725490196079</v>
      </c>
      <c r="H5">
        <v>0.84313725490196079</v>
      </c>
      <c r="I5">
        <v>0.84313725490196079</v>
      </c>
    </row>
    <row r="6" spans="1:9" x14ac:dyDescent="0.3">
      <c r="A6">
        <v>1005</v>
      </c>
      <c r="B6">
        <v>0.82291666666666663</v>
      </c>
      <c r="C6">
        <v>0.84403669724770647</v>
      </c>
      <c r="D6">
        <v>0.7931034482758621</v>
      </c>
      <c r="E6">
        <v>0.90196078431372551</v>
      </c>
      <c r="F6">
        <v>0.84375</v>
      </c>
      <c r="G6">
        <v>0.8571428571428571</v>
      </c>
      <c r="H6">
        <v>0.83333333333333337</v>
      </c>
      <c r="I6">
        <v>0.88235294117647056</v>
      </c>
    </row>
    <row r="7" spans="1:9" x14ac:dyDescent="0.3">
      <c r="B7">
        <f>AVERAGE(B2:B6)</f>
        <v>0.81874999999999998</v>
      </c>
      <c r="C7">
        <f t="shared" ref="C7:I7" si="0">AVERAGE(C2:C6)</f>
        <v>0.84003430920414812</v>
      </c>
      <c r="D7">
        <f t="shared" si="0"/>
        <v>0.79258128812962059</v>
      </c>
      <c r="E7">
        <f t="shared" si="0"/>
        <v>0.89411764705882357</v>
      </c>
      <c r="F7">
        <f t="shared" si="0"/>
        <v>0.83125000000000004</v>
      </c>
      <c r="G7">
        <f t="shared" si="0"/>
        <v>0.84273933262625422</v>
      </c>
      <c r="H7">
        <f t="shared" si="0"/>
        <v>0.83521271756565874</v>
      </c>
      <c r="I7">
        <f t="shared" si="0"/>
        <v>0.85098039215686272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920A-8C9C-492A-AEB9-F211B3229D70}">
  <dimension ref="A1:I7"/>
  <sheetViews>
    <sheetView workbookViewId="0">
      <selection activeCell="G13" sqref="G13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0.82291666666666663</v>
      </c>
      <c r="C2">
        <v>0.83809523809523812</v>
      </c>
      <c r="D2">
        <v>0.81481481481481477</v>
      </c>
      <c r="E2">
        <v>0.86274509803921573</v>
      </c>
      <c r="F2">
        <v>0.84375</v>
      </c>
      <c r="G2">
        <v>0.85148514851485146</v>
      </c>
      <c r="H2">
        <v>0.86</v>
      </c>
      <c r="I2">
        <v>0.84313725490196079</v>
      </c>
    </row>
    <row r="3" spans="1:9" x14ac:dyDescent="0.3">
      <c r="A3">
        <v>1002</v>
      </c>
      <c r="B3">
        <v>0.76041666666666663</v>
      </c>
      <c r="C3">
        <v>0.7927927927927928</v>
      </c>
      <c r="D3">
        <v>0.73333333333333328</v>
      </c>
      <c r="E3">
        <v>0.86274509803921573</v>
      </c>
      <c r="F3">
        <v>0.79166666666666663</v>
      </c>
      <c r="G3">
        <v>0.8</v>
      </c>
      <c r="H3">
        <v>0.81632653061224492</v>
      </c>
      <c r="I3">
        <v>0.78431372549019607</v>
      </c>
    </row>
    <row r="4" spans="1:9" x14ac:dyDescent="0.3">
      <c r="A4">
        <v>1003</v>
      </c>
      <c r="B4">
        <v>0.86458333333333337</v>
      </c>
      <c r="C4">
        <v>0.87378640776699024</v>
      </c>
      <c r="D4">
        <v>0.86538461538461542</v>
      </c>
      <c r="E4">
        <v>0.88235294117647056</v>
      </c>
      <c r="F4">
        <v>0.86458333333333337</v>
      </c>
      <c r="G4">
        <v>0.86868686868686873</v>
      </c>
      <c r="H4">
        <v>0.89583333333333337</v>
      </c>
      <c r="I4">
        <v>0.84313725490196079</v>
      </c>
    </row>
    <row r="5" spans="1:9" x14ac:dyDescent="0.3">
      <c r="A5">
        <v>1004</v>
      </c>
      <c r="B5">
        <v>0.80208333333333337</v>
      </c>
      <c r="C5">
        <v>0.82242990654205606</v>
      </c>
      <c r="D5">
        <v>0.7857142857142857</v>
      </c>
      <c r="E5">
        <v>0.86274509803921573</v>
      </c>
      <c r="F5">
        <v>0.83333333333333337</v>
      </c>
      <c r="G5">
        <v>0.84</v>
      </c>
      <c r="H5">
        <v>0.8571428571428571</v>
      </c>
      <c r="I5">
        <v>0.82352941176470584</v>
      </c>
    </row>
    <row r="6" spans="1:9" x14ac:dyDescent="0.3">
      <c r="A6">
        <v>1005</v>
      </c>
      <c r="B6">
        <v>0.82291666666666663</v>
      </c>
      <c r="C6">
        <v>0.83495145631067957</v>
      </c>
      <c r="D6">
        <v>0.82692307692307687</v>
      </c>
      <c r="E6">
        <v>0.84313725490196079</v>
      </c>
      <c r="F6">
        <v>0.8125</v>
      </c>
      <c r="G6">
        <v>0.8125</v>
      </c>
      <c r="H6">
        <v>0.8666666666666667</v>
      </c>
      <c r="I6">
        <v>0.76470588235294112</v>
      </c>
    </row>
    <row r="7" spans="1:9" x14ac:dyDescent="0.3">
      <c r="B7">
        <f>SUBTOTAL(101,whisper_log_last2_auto_no____2[acc_test])</f>
        <v>0.81458333333333344</v>
      </c>
      <c r="C7">
        <f>SUBTOTAL(101,whisper_log_last2_auto_no____2[f1])</f>
        <v>0.83241116030155138</v>
      </c>
      <c r="D7">
        <f>SUBTOTAL(101,whisper_log_last2_auto_no____2[precision])</f>
        <v>0.8052340252340251</v>
      </c>
      <c r="E7">
        <f>SUBTOTAL(101,whisper_log_last2_auto_no____2[recall])</f>
        <v>0.86274509803921562</v>
      </c>
      <c r="F7">
        <f>SUBTOTAL(101,whisper_log_last2_auto_no____2[acc_test_vote])</f>
        <v>0.82916666666666683</v>
      </c>
      <c r="G7">
        <f>SUBTOTAL(101,whisper_log_last2_auto_no____2[f1_vote])</f>
        <v>0.83453440344034413</v>
      </c>
      <c r="H7">
        <f>SUBTOTAL(101,whisper_log_last2_auto_no____2[precision_vote])</f>
        <v>0.85919387755102039</v>
      </c>
      <c r="I7">
        <f>SUBTOTAL(101,whisper_log_last2_auto_no____2[recall_vote])</f>
        <v>0.81176470588235294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0B1C3-FC83-44AA-8448-76A56378D630}">
  <dimension ref="A1:I7"/>
  <sheetViews>
    <sheetView tabSelected="1" workbookViewId="0">
      <selection activeCell="G14" sqref="G14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1002</v>
      </c>
      <c r="B2">
        <v>0.86458333333333337</v>
      </c>
      <c r="C2">
        <v>0.87378640776699024</v>
      </c>
      <c r="D2">
        <v>0.86538461538461542</v>
      </c>
      <c r="E2">
        <v>0.88235294117647056</v>
      </c>
      <c r="F2">
        <v>0.84375</v>
      </c>
      <c r="G2">
        <v>0.84536082474226804</v>
      </c>
      <c r="H2">
        <v>0.89130434782608692</v>
      </c>
      <c r="I2">
        <v>0.80392156862745101</v>
      </c>
    </row>
    <row r="3" spans="1:9" x14ac:dyDescent="0.3">
      <c r="A3">
        <v>1003</v>
      </c>
      <c r="B3">
        <v>0.83333333333333337</v>
      </c>
      <c r="C3">
        <v>0.85185185185185186</v>
      </c>
      <c r="D3">
        <v>0.80701754385964908</v>
      </c>
      <c r="E3">
        <v>0.90196078431372562</v>
      </c>
      <c r="F3">
        <v>0.86458333333333337</v>
      </c>
      <c r="G3">
        <v>0.86868686868686873</v>
      </c>
      <c r="H3">
        <v>0.89583333333333337</v>
      </c>
      <c r="I3">
        <v>0.84313725490196079</v>
      </c>
    </row>
    <row r="4" spans="1:9" x14ac:dyDescent="0.3">
      <c r="A4">
        <v>1004</v>
      </c>
      <c r="B4">
        <v>0.83333333333333337</v>
      </c>
      <c r="C4">
        <v>0.84615384615384615</v>
      </c>
      <c r="D4">
        <v>0.83018867924528306</v>
      </c>
      <c r="E4">
        <v>0.86274509803921573</v>
      </c>
      <c r="F4">
        <v>0.84375</v>
      </c>
      <c r="G4">
        <v>0.84536082474226804</v>
      </c>
      <c r="H4">
        <v>0.89130434782608692</v>
      </c>
      <c r="I4">
        <v>0.80392156862745101</v>
      </c>
    </row>
    <row r="5" spans="1:9" x14ac:dyDescent="0.3">
      <c r="A5">
        <v>1005</v>
      </c>
      <c r="B5">
        <v>0.82291666666666663</v>
      </c>
      <c r="C5">
        <v>0.84403669724770647</v>
      </c>
      <c r="D5">
        <v>0.7931034482758621</v>
      </c>
      <c r="E5">
        <v>0.90196078431372562</v>
      </c>
      <c r="F5">
        <v>0.85416666666666663</v>
      </c>
      <c r="G5">
        <v>0.86538461538461542</v>
      </c>
      <c r="H5">
        <v>0.84905660377358494</v>
      </c>
      <c r="I5">
        <v>0.88235294117647056</v>
      </c>
    </row>
    <row r="6" spans="1:9" x14ac:dyDescent="0.3">
      <c r="A6">
        <v>1001</v>
      </c>
      <c r="B6">
        <v>0.84375</v>
      </c>
      <c r="C6">
        <v>0.85436893203883491</v>
      </c>
      <c r="D6">
        <v>0.84615384615384615</v>
      </c>
      <c r="E6">
        <v>0.86274509803921573</v>
      </c>
      <c r="F6">
        <v>0.875</v>
      </c>
      <c r="G6">
        <v>0.87755102040816324</v>
      </c>
      <c r="H6">
        <v>0.91489361702127658</v>
      </c>
      <c r="I6">
        <v>0.84313725490196079</v>
      </c>
    </row>
    <row r="7" spans="1:9" x14ac:dyDescent="0.3">
      <c r="B7">
        <f>SUBTOTAL(101,whisper_log_last7_auto_no___1___3[acc_test])</f>
        <v>0.83958333333333324</v>
      </c>
      <c r="C7">
        <f>SUBTOTAL(101,whisper_log_last7_auto_no___1___3[f1])</f>
        <v>0.85403954701184581</v>
      </c>
      <c r="D7">
        <f>SUBTOTAL(101,whisper_log_last7_auto_no___1___3[precision])</f>
        <v>0.82836962658385116</v>
      </c>
      <c r="E7">
        <f>SUBTOTAL(101,whisper_log_last7_auto_no___1___3[recall])</f>
        <v>0.88235294117647067</v>
      </c>
      <c r="F7">
        <f>SUBTOTAL(101,whisper_log_last7_auto_no___1___3[acc_test_vote])</f>
        <v>0.85624999999999996</v>
      </c>
      <c r="G7">
        <f>SUBTOTAL(101,whisper_log_last7_auto_no___1___3[f1_vote])</f>
        <v>0.86046883079283665</v>
      </c>
      <c r="H7">
        <f>SUBTOTAL(101,whisper_log_last7_auto_no___1___3[precision_vote])</f>
        <v>0.88847844995607372</v>
      </c>
      <c r="I7">
        <f>SUBTOTAL(101,whisper_log_last7_auto_no___1___3[recall_vote])</f>
        <v>0.83529411764705885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FBBDB-BCA7-49B9-BDAF-C6340BB801A9}">
  <dimension ref="A1:I7"/>
  <sheetViews>
    <sheetView workbookViewId="0">
      <selection activeCell="E16" sqref="E16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0.70833333333333337</v>
      </c>
      <c r="C2">
        <v>0.75438596491228072</v>
      </c>
      <c r="D2">
        <v>0.68253968253968256</v>
      </c>
      <c r="E2">
        <v>0.84313725490196079</v>
      </c>
      <c r="F2">
        <v>0.70833333333333337</v>
      </c>
      <c r="G2">
        <v>0.73584905660377353</v>
      </c>
      <c r="H2">
        <v>0.70909090909090911</v>
      </c>
      <c r="I2">
        <v>0.76470588235294112</v>
      </c>
    </row>
    <row r="3" spans="1:9" x14ac:dyDescent="0.3">
      <c r="A3">
        <v>1002</v>
      </c>
      <c r="B3">
        <v>0.77083333333333337</v>
      </c>
      <c r="C3">
        <v>0.8</v>
      </c>
      <c r="D3">
        <v>0.74576271186440679</v>
      </c>
      <c r="E3">
        <v>0.86274509803921573</v>
      </c>
      <c r="F3">
        <v>0.72916666666666663</v>
      </c>
      <c r="G3">
        <v>0.75</v>
      </c>
      <c r="H3">
        <v>0.73584905660377353</v>
      </c>
      <c r="I3">
        <v>0.76470588235294112</v>
      </c>
    </row>
    <row r="4" spans="1:9" x14ac:dyDescent="0.3">
      <c r="A4">
        <v>1003</v>
      </c>
      <c r="B4">
        <v>0.71875</v>
      </c>
      <c r="C4">
        <v>0.76923076923076927</v>
      </c>
      <c r="D4">
        <v>0.68181818181818177</v>
      </c>
      <c r="E4">
        <v>0.88235294117647056</v>
      </c>
      <c r="F4">
        <v>0.65625</v>
      </c>
      <c r="G4">
        <v>0.69724770642201839</v>
      </c>
      <c r="H4">
        <v>0.65517241379310343</v>
      </c>
      <c r="I4">
        <v>0.74509803921568629</v>
      </c>
    </row>
    <row r="5" spans="1:9" x14ac:dyDescent="0.3">
      <c r="A5">
        <v>1004</v>
      </c>
      <c r="B5">
        <v>0.72916666666666663</v>
      </c>
      <c r="C5">
        <v>0.77192982456140347</v>
      </c>
      <c r="D5">
        <v>0.69841269841269837</v>
      </c>
      <c r="E5">
        <v>0.86274509803921573</v>
      </c>
      <c r="F5">
        <v>0.69791666666666663</v>
      </c>
      <c r="G5">
        <v>0.72380952380952379</v>
      </c>
      <c r="H5">
        <v>0.70370370370370372</v>
      </c>
      <c r="I5">
        <v>0.74509803921568629</v>
      </c>
    </row>
    <row r="6" spans="1:9" x14ac:dyDescent="0.3">
      <c r="A6">
        <v>1005</v>
      </c>
      <c r="B6">
        <v>0.65625</v>
      </c>
      <c r="C6">
        <v>0.70270270270270274</v>
      </c>
      <c r="D6">
        <v>0.65</v>
      </c>
      <c r="E6">
        <v>0.76470588235294112</v>
      </c>
      <c r="F6">
        <v>0.64583333333333337</v>
      </c>
      <c r="G6">
        <v>0.65306122448979587</v>
      </c>
      <c r="H6">
        <v>0.68085106382978722</v>
      </c>
      <c r="I6">
        <v>0.62745098039215685</v>
      </c>
    </row>
    <row r="7" spans="1:9" x14ac:dyDescent="0.3">
      <c r="B7">
        <f>SUBTOTAL(101,whisper_log_last12_auto_no____2[acc_test])</f>
        <v>0.71666666666666667</v>
      </c>
      <c r="C7">
        <f>SUBTOTAL(101,whisper_log_last12_auto_no____2[f1])</f>
        <v>0.75964985228143111</v>
      </c>
      <c r="D7">
        <f>SUBTOTAL(101,whisper_log_last12_auto_no____2[precision])</f>
        <v>0.6917066549269939</v>
      </c>
      <c r="E7">
        <f>SUBTOTAL(101,whisper_log_last12_auto_no____2[recall])</f>
        <v>0.84313725490196079</v>
      </c>
      <c r="F7">
        <f>SUBTOTAL(101,whisper_log_last12_auto_no____2[acc_test_vote])</f>
        <v>0.6875</v>
      </c>
      <c r="G7">
        <f>SUBTOTAL(101,whisper_log_last12_auto_no____2[f1_vote])</f>
        <v>0.71199350226502234</v>
      </c>
      <c r="H7">
        <f>SUBTOTAL(101,whisper_log_last12_auto_no____2[precision_vote])</f>
        <v>0.69693342940425551</v>
      </c>
      <c r="I7">
        <f>SUBTOTAL(101,whisper_log_last12_auto_no____2[recall_vote])</f>
        <v>0.72941176470588232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03A72-2C9C-497E-8FCE-900FC3768AF8}">
  <sheetPr codeName="Sheet9"/>
  <dimension ref="B1:C12"/>
  <sheetViews>
    <sheetView workbookViewId="0">
      <selection activeCell="B6" sqref="B6"/>
    </sheetView>
  </sheetViews>
  <sheetFormatPr defaultRowHeight="14" x14ac:dyDescent="0.3"/>
  <sheetData>
    <row r="1" spans="2:3" x14ac:dyDescent="0.3">
      <c r="B1">
        <f ca="1">INDIRECT("'" &amp; 12 &amp; "'!F7")</f>
        <v>0.6875</v>
      </c>
      <c r="C1">
        <f ca="1">INDIRECT("'" &amp; 12 &amp; "'!G7")</f>
        <v>0.71199350226502234</v>
      </c>
    </row>
    <row r="2" spans="2:3" x14ac:dyDescent="0.3">
      <c r="B2">
        <f ca="1">INDIRECT("'" &amp; 11 &amp; "'!F7")</f>
        <v>0.70833333333333326</v>
      </c>
      <c r="C2">
        <f ca="1">INDIRECT("'" &amp; 11 &amp; "'!G7")</f>
        <v>0.72338342069501071</v>
      </c>
    </row>
    <row r="3" spans="2:3" x14ac:dyDescent="0.3">
      <c r="B3">
        <f ca="1">INDIRECT("'" &amp; 10 &amp; "'!F7")</f>
        <v>0.73333333333333339</v>
      </c>
      <c r="C3">
        <f ca="1">INDIRECT("'" &amp; 10 &amp; "'!G7")</f>
        <v>0.74383062014597845</v>
      </c>
    </row>
    <row r="4" spans="2:3" x14ac:dyDescent="0.3">
      <c r="B4">
        <f ca="1">INDIRECT("'" &amp; 9&amp; "'!F7")</f>
        <v>0.77083333333333326</v>
      </c>
      <c r="C4">
        <f ca="1">INDIRECT("'" &amp; 9 &amp; "'!G7")</f>
        <v>0.77367167462978603</v>
      </c>
    </row>
    <row r="5" spans="2:3" x14ac:dyDescent="0.3">
      <c r="B5">
        <f ca="1">INDIRECT("'" &amp; 8 &amp; "'!F7")</f>
        <v>0.83125000000000004</v>
      </c>
      <c r="C5">
        <f ca="1">INDIRECT("'" &amp; 8 &amp; "'!G7")</f>
        <v>0.84273933262625422</v>
      </c>
    </row>
    <row r="6" spans="2:3" x14ac:dyDescent="0.3">
      <c r="B6">
        <f ca="1">INDIRECT("'" &amp; 7 &amp; "'!F7")</f>
        <v>0.85624999999999996</v>
      </c>
      <c r="C6">
        <f ca="1">INDIRECT("'" &amp; 7 &amp; "'!G7")</f>
        <v>0.86046883079283665</v>
      </c>
    </row>
    <row r="7" spans="2:3" x14ac:dyDescent="0.3">
      <c r="B7">
        <f ca="1">INDIRECT("'" &amp; 6 &amp; "'!F7")</f>
        <v>0.83125000000000004</v>
      </c>
      <c r="C7">
        <f ca="1">INDIRECT("'" &amp; 6 &amp; "'!G7")</f>
        <v>0.83281705784217375</v>
      </c>
    </row>
    <row r="8" spans="2:3" x14ac:dyDescent="0.3">
      <c r="B8">
        <f ca="1">INDIRECT("'" &amp; 5 &amp; "'!F7")</f>
        <v>0.84166666666666656</v>
      </c>
      <c r="C8">
        <f ca="1">INDIRECT("'" &amp; 5 &amp; "'!G7")</f>
        <v>0.84986502897138561</v>
      </c>
    </row>
    <row r="9" spans="2:3" x14ac:dyDescent="0.3">
      <c r="B9">
        <f ca="1">INDIRECT("'" &amp; 4 &amp; "'!F7")</f>
        <v>0.83333333333333337</v>
      </c>
      <c r="C9">
        <f ca="1">INDIRECT("'" &amp; 4 &amp; "'!G7")</f>
        <v>0.84039561370887284</v>
      </c>
    </row>
    <row r="10" spans="2:3" x14ac:dyDescent="0.3">
      <c r="B10">
        <f ca="1">INDIRECT("'" &amp; 3 &amp; "'!F7")</f>
        <v>0.81126760563380285</v>
      </c>
      <c r="C10">
        <f ca="1">INDIRECT("'" &amp; 3 &amp; "'!G7")</f>
        <v>0.78860720791048655</v>
      </c>
    </row>
    <row r="11" spans="2:3" x14ac:dyDescent="0.3">
      <c r="B11">
        <f ca="1">INDIRECT("'" &amp; 2 &amp; "'!F7")</f>
        <v>0.82916666666666683</v>
      </c>
      <c r="C11">
        <f ca="1">INDIRECT("'" &amp; 2 &amp; "'!G7")</f>
        <v>0.83453440344034413</v>
      </c>
    </row>
    <row r="12" spans="2:3" x14ac:dyDescent="0.3">
      <c r="B12">
        <f ca="1">INDIRECT("'" &amp; 1 &amp; "'!F7")</f>
        <v>0.84791666666666665</v>
      </c>
      <c r="C12">
        <f ca="1">INDIRECT("'" &amp; 1 &amp; "'!G7")</f>
        <v>0.85151711438300881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D33CD0-4D54-4E5B-B2B9-076CFA7AC9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1</vt:lpstr>
      <vt:lpstr>11</vt:lpstr>
      <vt:lpstr>10</vt:lpstr>
      <vt:lpstr>9</vt:lpstr>
      <vt:lpstr>3</vt:lpstr>
      <vt:lpstr>4</vt:lpstr>
      <vt:lpstr>6</vt:lpstr>
      <vt:lpstr>5</vt:lpstr>
      <vt:lpstr>8</vt:lpstr>
      <vt:lpstr>2</vt:lpstr>
      <vt:lpstr>7</vt:lpstr>
      <vt:lpstr>12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 yu</dc:creator>
  <cp:lastModifiedBy>sc yu</cp:lastModifiedBy>
  <dcterms:created xsi:type="dcterms:W3CDTF">2025-10-29T09:28:01Z</dcterms:created>
  <dcterms:modified xsi:type="dcterms:W3CDTF">2025-11-04T18:29:33Z</dcterms:modified>
</cp:coreProperties>
</file>