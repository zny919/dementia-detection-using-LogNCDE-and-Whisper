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2021\single\"/>
    </mc:Choice>
  </mc:AlternateContent>
  <xr:revisionPtr revIDLastSave="0" documentId="13_ncr:1_{4D607357-DFB5-4052-B6C3-E72BDC4356F9}" xr6:coauthVersionLast="47" xr6:coauthVersionMax="47" xr10:uidLastSave="{00000000-0000-0000-0000-000000000000}"/>
  <bookViews>
    <workbookView xWindow="2160" yWindow="2160" windowWidth="19200" windowHeight="11710" firstSheet="11" activeTab="12" xr2:uid="{401E2F50-955F-45E1-8ABE-9D3E8B2ACC26}"/>
  </bookViews>
  <sheets>
    <sheet name="3" sheetId="19" r:id="rId1"/>
    <sheet name="12" sheetId="29" r:id="rId2"/>
    <sheet name="11" sheetId="27" r:id="rId3"/>
    <sheet name="10" sheetId="26" r:id="rId4"/>
    <sheet name="9" sheetId="25" r:id="rId5"/>
    <sheet name="8" sheetId="24" r:id="rId6"/>
    <sheet name="7" sheetId="23" r:id="rId7"/>
    <sheet name="6" sheetId="22" r:id="rId8"/>
    <sheet name="5" sheetId="21" r:id="rId9"/>
    <sheet name="4" sheetId="20" r:id="rId10"/>
    <sheet name="2" sheetId="17" r:id="rId11"/>
    <sheet name="1" sheetId="16" r:id="rId12"/>
    <sheet name="Sheet1" sheetId="1" r:id="rId13"/>
  </sheets>
  <definedNames>
    <definedName name="ExternalData_1" localSheetId="11" hidden="1">'1'!$A$1:$I$6</definedName>
    <definedName name="ExternalData_10" localSheetId="2" hidden="1">'11'!$A$1:$I$6</definedName>
    <definedName name="ExternalData_12" localSheetId="1" hidden="1">'12'!$A$1:$I$6</definedName>
    <definedName name="ExternalData_2" localSheetId="10" hidden="1">'2'!$A$1:$I$6</definedName>
    <definedName name="ExternalData_3" localSheetId="9" hidden="1">'4'!$A$1:$I$6</definedName>
    <definedName name="ExternalData_4" localSheetId="0" hidden="1">'3'!$A$1:$I$6</definedName>
    <definedName name="ExternalData_4" localSheetId="8" hidden="1">'5'!$A$1:$I$6</definedName>
    <definedName name="ExternalData_5" localSheetId="7" hidden="1">'6'!$A$1:$I$6</definedName>
    <definedName name="ExternalData_6" localSheetId="6" hidden="1">'7'!$A$1:$I$6</definedName>
    <definedName name="ExternalData_7" localSheetId="5" hidden="1">'8'!$A$1:$I$6</definedName>
    <definedName name="ExternalData_8" localSheetId="4" hidden="1">'9'!$A$1:$I$6</definedName>
    <definedName name="ExternalData_9" localSheetId="3" hidden="1">'10'!$A$1:$I$6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  <c r="C2" i="1"/>
  <c r="C1" i="1"/>
  <c r="C7" i="29" l="1"/>
  <c r="D7" i="29"/>
  <c r="E7" i="29"/>
  <c r="F7" i="29"/>
  <c r="G7" i="29"/>
  <c r="H7" i="29"/>
  <c r="I7" i="29"/>
  <c r="B7" i="29"/>
  <c r="C7" i="19" l="1"/>
  <c r="D7" i="19"/>
  <c r="E7" i="19"/>
  <c r="F7" i="19"/>
  <c r="G7" i="19"/>
  <c r="H7" i="19"/>
  <c r="I7" i="19"/>
  <c r="C7" i="27"/>
  <c r="D7" i="27"/>
  <c r="E7" i="27"/>
  <c r="F7" i="27"/>
  <c r="G7" i="27"/>
  <c r="H7" i="27"/>
  <c r="I7" i="27"/>
  <c r="C7" i="26"/>
  <c r="D7" i="26"/>
  <c r="E7" i="26"/>
  <c r="F7" i="26"/>
  <c r="G7" i="26"/>
  <c r="H7" i="26"/>
  <c r="I7" i="26"/>
  <c r="C7" i="25"/>
  <c r="D7" i="25"/>
  <c r="E7" i="25"/>
  <c r="F7" i="25"/>
  <c r="G7" i="25"/>
  <c r="H7" i="25"/>
  <c r="I7" i="25"/>
  <c r="C7" i="24"/>
  <c r="D7" i="24"/>
  <c r="E7" i="24"/>
  <c r="F7" i="24"/>
  <c r="G7" i="24"/>
  <c r="H7" i="24"/>
  <c r="I7" i="24"/>
  <c r="C7" i="23"/>
  <c r="D7" i="23"/>
  <c r="E7" i="23"/>
  <c r="F7" i="23"/>
  <c r="G7" i="23"/>
  <c r="H7" i="23"/>
  <c r="I7" i="23"/>
  <c r="C7" i="22"/>
  <c r="D7" i="22"/>
  <c r="E7" i="22"/>
  <c r="F7" i="22"/>
  <c r="G7" i="22"/>
  <c r="H7" i="22"/>
  <c r="I7" i="22"/>
  <c r="C7" i="21"/>
  <c r="D7" i="21"/>
  <c r="E7" i="21"/>
  <c r="F7" i="21"/>
  <c r="G7" i="21"/>
  <c r="H7" i="21"/>
  <c r="I7" i="21"/>
  <c r="C7" i="20"/>
  <c r="D7" i="20"/>
  <c r="E7" i="20"/>
  <c r="F7" i="20"/>
  <c r="G7" i="20"/>
  <c r="H7" i="20"/>
  <c r="I7" i="20"/>
  <c r="C7" i="16"/>
  <c r="D7" i="16"/>
  <c r="E7" i="16"/>
  <c r="F7" i="16"/>
  <c r="G7" i="16"/>
  <c r="H7" i="16"/>
  <c r="I7" i="16"/>
  <c r="C7" i="17"/>
  <c r="D7" i="17"/>
  <c r="E7" i="17"/>
  <c r="F7" i="17"/>
  <c r="G7" i="17"/>
  <c r="H7" i="17"/>
  <c r="I7" i="17"/>
  <c r="B7" i="19"/>
  <c r="B7" i="27"/>
  <c r="B7" i="26"/>
  <c r="B7" i="25"/>
  <c r="B7" i="24"/>
  <c r="B7" i="23"/>
  <c r="B7" i="22"/>
  <c r="B7" i="21"/>
  <c r="B7" i="20"/>
  <c r="B7" i="16"/>
  <c r="B7" i="17"/>
  <c r="B7" i="1"/>
  <c r="B11" i="1"/>
  <c r="B9" i="1"/>
  <c r="B8" i="1"/>
  <c r="B3" i="1"/>
  <c r="B2" i="1"/>
  <c r="B4" i="1"/>
  <c r="B1" i="1"/>
  <c r="B6" i="1"/>
  <c r="B10" i="1"/>
  <c r="B12" i="1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4ED02F-B3CC-45E1-A4B8-F3CC409FA1E4}" keepAlive="1" name="查询 - whisepr_single3_log_predict_auto(1)_(1)" description="与工作簿中“whisepr_single3_log_predict_auto(1)_(1)”查询的连接。" type="5" refreshedVersion="0" background="1">
    <dbPr connection="Provider=Microsoft.Mashup.OleDb.1;Data Source=$Workbook$;Location=whisepr_single3_log_predict_auto(1)_(1);Extended Properties=&quot;&quot;" command="SELECT * FROM [whisepr_single3_log_predict_auto(1)_(1)]"/>
  </connection>
  <connection id="2" xr16:uid="{475A3B35-8C34-4ED0-A945-5244BB9A52D3}" keepAlive="1" name="查询 - whisepr_single5_log_50seed_predict_h128_v512_0norm_ode250_step50" description="与工作簿中“whisepr_single5_log_50seed_predict_h128_v512_0norm_ode250_step50”查询的连接。" type="5" refreshedVersion="0" background="1">
    <dbPr connection="Provider=Microsoft.Mashup.OleDb.1;Data Source=$Workbook$;Location=whisepr_single5_log_50seed_predict_h128_v512_0norm_ode250_step50;Extended Properties=&quot;&quot;" command="SELECT * FROM [whisepr_single5_log_50seed_predict_h128_v512_0norm_ode250_step50]"/>
  </connection>
  <connection id="3" xr16:uid="{5ECAF17D-12B0-4F9B-9154-23457D704961}" keepAlive="1" name="查询 - whisepr_single7_log_50seed_predict_h128_v512_0norm_ode250_step50" description="与工作簿中“whisepr_single7_log_50seed_predict_h128_v512_0norm_ode250_step50”查询的连接。" type="5" refreshedVersion="0" background="1">
    <dbPr connection="Provider=Microsoft.Mashup.OleDb.1;Data Source=$Workbook$;Location=whisepr_single7_log_50seed_predict_h128_v512_0norm_ode250_step50;Extended Properties=&quot;&quot;" command="SELECT * FROM [whisepr_single7_log_50seed_predict_h128_v512_0norm_ode250_step50]"/>
  </connection>
  <connection id="4" xr16:uid="{1928098E-BE31-477E-A14E-7AE4B877C9BA}" keepAlive="1" name="查询 - whisper_log_last1_auto(1)_(1)" description="与工作簿中“whisper_log_last1_auto(1)_(1)”查询的连接。" type="5" refreshedVersion="8" background="1" saveData="1">
    <dbPr connection="Provider=Microsoft.Mashup.OleDb.1;Data Source=$Workbook$;Location=whisper_log_last1_auto(1)_(1);Extended Properties=&quot;&quot;" command="SELECT * FROM [whisper_log_last1_auto(1)_(1)]"/>
  </connection>
  <connection id="5" xr16:uid="{A90E0BD9-F5E9-4659-8786-694EB418DDBF}" keepAlive="1" name="查询 - whisper_single1_log_auto(1)_(1)" description="与工作簿中“whisper_single1_log_auto(1)_(1)”查询的连接。" type="5" refreshedVersion="8" background="1" saveData="1">
    <dbPr connection="Provider=Microsoft.Mashup.OleDb.1;Data Source=$Workbook$;Location=whisper_single1_log_auto(1)_(1);Extended Properties=&quot;&quot;" command="SELECT * FROM [whisper_single1_log_auto(1)_(1)]"/>
  </connection>
  <connection id="6" xr16:uid="{1773183C-4610-45C9-BB3F-E15C7778CCFA}" keepAlive="1" name="查询 - whisper_single10_log_50seed_acc_h128_v512_0norm_ode250_step50" description="与工作簿中“whisper_single10_log_50seed_acc_h128_v512_0norm_ode250_step50”查询的连接。" type="5" refreshedVersion="8" background="1" saveData="1">
    <dbPr connection="Provider=Microsoft.Mashup.OleDb.1;Data Source=$Workbook$;Location=whisper_single10_log_50seed_acc_h128_v512_0norm_ode250_step50;Extended Properties=&quot;&quot;" command="SELECT * FROM [whisper_single10_log_50seed_acc_h128_v512_0norm_ode250_step50]"/>
  </connection>
  <connection id="7" xr16:uid="{89D9026B-CD78-43C2-8E17-354EAF36A406}" keepAlive="1" name="查询 - whisper_single11_log_50seed_acc_h128_v512_0norm_ode250_step50" description="与工作簿中“whisper_single11_log_50seed_acc_h128_v512_0norm_ode250_step50”查询的连接。" type="5" refreshedVersion="0" background="1">
    <dbPr connection="Provider=Microsoft.Mashup.OleDb.1;Data Source=$Workbook$;Location=whisper_single11_log_50seed_acc_h128_v512_0norm_ode250_step50;Extended Properties=&quot;&quot;" command="SELECT * FROM [whisper_single11_log_50seed_acc_h128_v512_0norm_ode250_step50]"/>
  </connection>
  <connection id="8" xr16:uid="{6FA6B1CD-6AA4-45C0-BC7F-58858D192DF0}" keepAlive="1" name="查询 - whisper_single11_log_50seed_acc_h128_v512_0norm_ode250_step50 (2)" description="与工作簿中“whisper_single11_log_50seed_acc_h128_v512_0norm_ode250_step50 (2)”查询的连接。" type="5" refreshedVersion="8" background="1" saveData="1">
    <dbPr connection="Provider=Microsoft.Mashup.OleDb.1;Data Source=$Workbook$;Location=&quot;whisper_single11_log_50seed_acc_h128_v512_0norm_ode250_step50 (2)&quot;;Extended Properties=&quot;&quot;" command="SELECT * FROM [whisper_single11_log_50seed_acc_h128_v512_0norm_ode250_step50 (2)]"/>
  </connection>
  <connection id="9" xr16:uid="{641B34AB-2A2F-4C1A-BFA4-01BFD58FD78F}" keepAlive="1" name="查询 - whisper_single12_log_50seed_acc_h128_v512_0norm_ode250_step50" description="与工作簿中“whisper_single12_log_50seed_acc_h128_v512_0norm_ode250_step50”查询的连接。" type="5" refreshedVersion="0" background="1">
    <dbPr connection="Provider=Microsoft.Mashup.OleDb.1;Data Source=$Workbook$;Location=whisper_single12_log_50seed_acc_h128_v512_0norm_ode250_step50;Extended Properties=&quot;&quot;" command="SELECT * FROM [whisper_single12_log_50seed_acc_h128_v512_0norm_ode250_step50]"/>
  </connection>
  <connection id="10" xr16:uid="{BAA88629-E138-4743-846B-54E2A9984478}" keepAlive="1" name="查询 - whisper_single12_log_50seed_acc_h128_v512_0norm_ode250_step50 (2)" description="与工作簿中“whisper_single12_log_50seed_acc_h128_v512_0norm_ode250_step50 (2)”查询的连接。" type="5" refreshedVersion="8" background="1" saveData="1">
    <dbPr connection="Provider=Microsoft.Mashup.OleDb.1;Data Source=$Workbook$;Location=&quot;whisper_single12_log_50seed_acc_h128_v512_0norm_ode250_step50 (2)&quot;;Extended Properties=&quot;&quot;" command="SELECT * FROM [whisper_single12_log_50seed_acc_h128_v512_0norm_ode250_step50 (2)]"/>
  </connection>
  <connection id="11" xr16:uid="{7116DBC4-7E36-4678-882A-9D51D4A0C312}" keepAlive="1" name="查询 - whisper_single12_log_50seed_acc_h128_v512_0norm_ode250_step50 (3)" description="与工作簿中“whisper_single12_log_50seed_acc_h128_v512_0norm_ode250_step50 (3)”查询的连接。" type="5" refreshedVersion="0" background="1">
    <dbPr connection="Provider=Microsoft.Mashup.OleDb.1;Data Source=$Workbook$;Location=&quot;whisper_single12_log_50seed_acc_h128_v512_0norm_ode250_step50 (3)&quot;;Extended Properties=&quot;&quot;" command="SELECT * FROM [whisper_single12_log_50seed_acc_h128_v512_0norm_ode250_step50 (3)]"/>
  </connection>
  <connection id="12" xr16:uid="{40A027BB-419A-4BCC-9EDF-07C9ED6E05D3}" keepAlive="1" name="查询 - whisper_single2_log_50seed_acc_h128_v512_0norm_ode250_step50" description="与工作簿中“whisper_single2_log_50seed_acc_h128_v512_0norm_ode250_step50”查询的连接。" type="5" refreshedVersion="0" background="1">
    <dbPr connection="Provider=Microsoft.Mashup.OleDb.1;Data Source=$Workbook$;Location=whisper_single2_log_50seed_acc_h128_v512_0norm_ode250_step50;Extended Properties=&quot;&quot;" command="SELECT * FROM [whisper_single2_log_50seed_acc_h128_v512_0norm_ode250_step50]"/>
  </connection>
  <connection id="13" xr16:uid="{E78C639D-9046-443C-BEC2-A92C55950CA8}" keepAlive="1" name="查询 - whisper_single2_log_auto(1)_(1)" description="与工作簿中“whisper_single2_log_auto(1)_(1)”查询的连接。" type="5" refreshedVersion="8" background="1" saveData="1">
    <dbPr connection="Provider=Microsoft.Mashup.OleDb.1;Data Source=$Workbook$;Location=whisper_single2_log_auto(1)_(1);Extended Properties=&quot;&quot;" command="SELECT * FROM [whisper_single2_log_auto(1)_(1)]"/>
  </connection>
  <connection id="14" xr16:uid="{4A1B68C5-BF1C-4A71-A40C-E62A1D57C598}" keepAlive="1" name="查询 - whisper_single3_log_50seed_acc_h128_v512_0norm_ode250_step50" description="与工作簿中“whisper_single3_log_50seed_acc_h128_v512_0norm_ode250_step50”查询的连接。" type="5" refreshedVersion="0" background="1">
    <dbPr connection="Provider=Microsoft.Mashup.OleDb.1;Data Source=$Workbook$;Location=whisper_single3_log_50seed_acc_h128_v512_0norm_ode250_step50;Extended Properties=&quot;&quot;" command="SELECT * FROM [whisper_single3_log_50seed_acc_h128_v512_0norm_ode250_step50]"/>
  </connection>
  <connection id="15" xr16:uid="{9A453F59-8B84-4308-A864-FB627CB722D0}" keepAlive="1" name="查询 - whisper_single3_log_auto(1)_(1)" description="与工作簿中“whisper_single3_log_auto(1)_(1)”查询的连接。" type="5" refreshedVersion="8" background="1" saveData="1">
    <dbPr connection="Provider=Microsoft.Mashup.OleDb.1;Data Source=$Workbook$;Location=whisper_single3_log_auto(1)_(1);Extended Properties=&quot;&quot;" command="SELECT * FROM [whisper_single3_log_auto(1)_(1)]"/>
  </connection>
  <connection id="16" xr16:uid="{2BE15ABD-CA55-4B43-B535-819C5FCFC76B}" keepAlive="1" name="查询 - whisper_single4_log_auto(1)_(1)" description="与工作簿中“whisper_single4_log_auto(1)_(1)”查询的连接。" type="5" refreshedVersion="8" background="1" saveData="1">
    <dbPr connection="Provider=Microsoft.Mashup.OleDb.1;Data Source=$Workbook$;Location=whisper_single4_log_auto(1)_(1);Extended Properties=&quot;&quot;" command="SELECT * FROM [whisper_single4_log_auto(1)_(1)]"/>
  </connection>
  <connection id="17" xr16:uid="{C9348696-0E6B-4C41-A603-379DA23221AB}" keepAlive="1" name="查询 - whisper_single5_log_50seed_acc_h128_v512_0norm_ode250_step50" description="与工作簿中“whisper_single5_log_50seed_acc_h128_v512_0norm_ode250_step50”查询的连接。" type="5" refreshedVersion="0" background="1">
    <dbPr connection="Provider=Microsoft.Mashup.OleDb.1;Data Source=$Workbook$;Location=whisper_single5_log_50seed_acc_h128_v512_0norm_ode250_step50;Extended Properties=&quot;&quot;" command="SELECT * FROM [whisper_single5_log_50seed_acc_h128_v512_0norm_ode250_step50]"/>
  </connection>
  <connection id="18" xr16:uid="{1508C66F-6E9E-43F1-B0F3-0AA25A7321A6}" keepAlive="1" name="查询 - whisper_single5_log_auto(1)_(1)" description="与工作簿中“whisper_single5_log_auto(1)_(1)”查询的连接。" type="5" refreshedVersion="8" background="1" saveData="1">
    <dbPr connection="Provider=Microsoft.Mashup.OleDb.1;Data Source=$Workbook$;Location=whisper_single5_log_auto(1)_(1);Extended Properties=&quot;&quot;" command="SELECT * FROM [whisper_single5_log_auto(1)_(1)]"/>
  </connection>
  <connection id="19" xr16:uid="{30EA9720-EF65-4F99-ABA2-A728AA8D5816}" keepAlive="1" name="查询 - whisper_single6_log_50seed_acc_h128_v512_0norm_ode250_step50" description="与工作簿中“whisper_single6_log_50seed_acc_h128_v512_0norm_ode250_step50”查询的连接。" type="5" refreshedVersion="0" background="1">
    <dbPr connection="Provider=Microsoft.Mashup.OleDb.1;Data Source=$Workbook$;Location=whisper_single6_log_50seed_acc_h128_v512_0norm_ode250_step50;Extended Properties=&quot;&quot;" command="SELECT * FROM [whisper_single6_log_50seed_acc_h128_v512_0norm_ode250_step50]"/>
  </connection>
  <connection id="20" xr16:uid="{927271BC-22D9-4006-B847-26F0B80DA2DF}" keepAlive="1" name="查询 - whisper_single6_log_auto(1)_(1)" description="与工作簿中“whisper_single6_log_auto(1)_(1)”查询的连接。" type="5" refreshedVersion="8" background="1" saveData="1">
    <dbPr connection="Provider=Microsoft.Mashup.OleDb.1;Data Source=$Workbook$;Location=whisper_single6_log_auto(1)_(1);Extended Properties=&quot;&quot;" command="SELECT * FROM [whisper_single6_log_auto(1)_(1)]"/>
  </connection>
  <connection id="21" xr16:uid="{D8C8B8F6-003C-4F8E-980C-C04460E485BE}" keepAlive="1" name="查询 - whisper_single7_log_auto(1)_(1)" description="与工作簿中“whisper_single7_log_auto(1)_(1)”查询的连接。" type="5" refreshedVersion="8" background="1" saveData="1">
    <dbPr connection="Provider=Microsoft.Mashup.OleDb.1;Data Source=$Workbook$;Location=whisper_single7_log_auto(1)_(1);Extended Properties=&quot;&quot;" command="SELECT * FROM [whisper_single7_log_auto(1)_(1)]"/>
  </connection>
  <connection id="22" xr16:uid="{BE6FF82F-77EF-4016-B705-4968C6D12554}" keepAlive="1" name="查询 - whisper_single8_log_50seed_acc_h128_v512_0norm_ode250_step50" description="与工作簿中“whisper_single8_log_50seed_acc_h128_v512_0norm_ode250_step50”查询的连接。" type="5" refreshedVersion="0" background="1">
    <dbPr connection="Provider=Microsoft.Mashup.OleDb.1;Data Source=$Workbook$;Location=whisper_single8_log_50seed_acc_h128_v512_0norm_ode250_step50;Extended Properties=&quot;&quot;" command="SELECT * FROM [whisper_single8_log_50seed_acc_h128_v512_0norm_ode250_step50]"/>
  </connection>
  <connection id="23" xr16:uid="{3C0B5BCC-D620-49B0-8B79-DE5AF1C7B361}" keepAlive="1" name="查询 - whisper_single8_log_auto(1)_(1)" description="与工作簿中“whisper_single8_log_auto(1)_(1)”查询的连接。" type="5" refreshedVersion="8" background="1" saveData="1">
    <dbPr connection="Provider=Microsoft.Mashup.OleDb.1;Data Source=$Workbook$;Location=whisper_single8_log_auto(1)_(1);Extended Properties=&quot;&quot;" command="SELECT * FROM [whisper_single8_log_auto(1)_(1)]"/>
  </connection>
  <connection id="24" xr16:uid="{B8976A27-E148-470B-9D1F-4C7A05148A60}" keepAlive="1" name="查询 - whisper_single9_log_50seed_acc_h128_v512_0norm_ode250_step50" description="与工作簿中“whisper_single9_log_50seed_acc_h128_v512_0norm_ode250_step50”查询的连接。" type="5" refreshedVersion="0" background="1">
    <dbPr connection="Provider=Microsoft.Mashup.OleDb.1;Data Source=$Workbook$;Location=whisper_single9_log_50seed_acc_h128_v512_0norm_ode250_step50;Extended Properties=&quot;&quot;" command="SELECT * FROM [whisper_single9_log_50seed_acc_h128_v512_0norm_ode250_step50]"/>
  </connection>
  <connection id="25" xr16:uid="{5D12BA7B-0415-4A4E-9178-3B0A08664B53}" keepAlive="1" name="查询 - whisper_single9_log_auto(1)_(1)" description="与工作簿中“whisper_single9_log_auto(1)_(1)”查询的连接。" type="5" refreshedVersion="8" background="1" saveData="1">
    <dbPr connection="Provider=Microsoft.Mashup.OleDb.1;Data Source=$Workbook$;Location=whisper_single9_log_auto(1)_(1);Extended Properties=&quot;&quot;" command="SELECT * FROM [whisper_single9_log_auto(1)_(1)]"/>
  </connection>
  <connection id="26" xr16:uid="{5A2A602E-9ED3-4667-B27F-7BDE074C0789}" keepAlive="1" name="查询 - whisper_singlet1_log_50seed_acc_h128_v512_0norm_ode250_step50" description="与工作簿中“whisper_singlet1_log_50seed_acc_h128_v512_0norm_ode250_step50”查询的连接。" type="5" refreshedVersion="0" background="1">
    <dbPr connection="Provider=Microsoft.Mashup.OleDb.1;Data Source=$Workbook$;Location=whisper_singlet1_log_50seed_acc_h128_v512_0norm_ode250_step50;Extended Properties=&quot;&quot;" command="SELECT * FROM [whisper_singlet1_log_50seed_acc_h128_v512_0norm_ode250_step50]"/>
  </connection>
  <connection id="27" xr16:uid="{FD6F3AE3-33C3-49E6-8261-E9E21D729061}" keepAlive="1" name="查询 - whisper_singlet10_log_50seed_acc_h128_v512_0norm_ode250_step50" description="与工作簿中“whisper_singlet10_log_50seed_acc_h128_v512_0norm_ode250_step50”查询的连接。" type="5" refreshedVersion="0" background="1">
    <dbPr connection="Provider=Microsoft.Mashup.OleDb.1;Data Source=$Workbook$;Location=whisper_singlet10_log_50seed_acc_h128_v512_0norm_ode250_step50;Extended Properties=&quot;&quot;" command="SELECT * FROM [whisper_singlet10_log_50seed_acc_h128_v512_0norm_ode250_step50]"/>
  </connection>
  <connection id="28" xr16:uid="{D6BE061C-61C1-48F5-A0A8-0FA2121E213B}" keepAlive="1" name="查询 - whisper_singlet4_log_50seed_acc_h128_v512_0norm_ode250_step50" description="与工作簿中“whisper_singlet4_log_50seed_acc_h128_v512_0norm_ode250_step50”查询的连接。" type="5" refreshedVersion="0" background="1">
    <dbPr connection="Provider=Microsoft.Mashup.OleDb.1;Data Source=$Workbook$;Location=whisper_singlet4_log_50seed_acc_h128_v512_0norm_ode250_step50;Extended Properties=&quot;&quot;" command="SELECT * FROM [whisper_singlet4_log_50seed_acc_h128_v512_0norm_ode250_step50]"/>
  </connection>
  <connection id="29" xr16:uid="{BDA9E69C-31BA-458F-B255-20D58277D84F}" keepAlive="1" name="查询 - whisper_singlet7_log_50seed_acc_h128_v512_0norm_ode250_step50" description="与工作簿中“whisper_singlet7_log_50seed_acc_h128_v512_0norm_ode250_step50”查询的连接。" type="5" refreshedVersion="0" background="1">
    <dbPr connection="Provider=Microsoft.Mashup.OleDb.1;Data Source=$Workbook$;Location=whisper_singlet7_log_50seed_acc_h128_v512_0norm_ode250_step50;Extended Properties=&quot;&quot;" command="SELECT * FROM [whisper_singlet7_log_50seed_acc_h128_v512_0norm_ode250_step50]"/>
  </connection>
</connections>
</file>

<file path=xl/sharedStrings.xml><?xml version="1.0" encoding="utf-8"?>
<sst xmlns="http://schemas.openxmlformats.org/spreadsheetml/2006/main" count="108" uniqueCount="9">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</sst>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0.6535211267605634</c:v>
                </c:pt>
                <c:pt idx="1">
                  <c:v>0.60281690140845068</c:v>
                </c:pt>
                <c:pt idx="2">
                  <c:v>0.647887323943662</c:v>
                </c:pt>
                <c:pt idx="3">
                  <c:v>0.71549295774647881</c:v>
                </c:pt>
                <c:pt idx="4">
                  <c:v>0.676056338028169</c:v>
                </c:pt>
                <c:pt idx="5">
                  <c:v>0.75774647887323943</c:v>
                </c:pt>
                <c:pt idx="6">
                  <c:v>0.74084507042253522</c:v>
                </c:pt>
                <c:pt idx="7">
                  <c:v>0.79154929577464794</c:v>
                </c:pt>
                <c:pt idx="8">
                  <c:v>0.76338028169014083</c:v>
                </c:pt>
                <c:pt idx="9">
                  <c:v>0.81126760563380285</c:v>
                </c:pt>
                <c:pt idx="10">
                  <c:v>0.78309859154929573</c:v>
                </c:pt>
                <c:pt idx="11">
                  <c:v>0.83943661971830985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0-47E2-ACA6-6A7942CCD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286304"/>
        <c:axId val="175285824"/>
      </c:lineChart>
      <c:catAx>
        <c:axId val="175286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285824"/>
        <c:crosses val="autoZero"/>
        <c:auto val="1"/>
        <c:lblAlgn val="ctr"/>
        <c:lblOffset val="100"/>
        <c:noMultiLvlLbl val="0"/>
      </c:catAx>
      <c:valAx>
        <c:axId val="17528582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2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5</xdr:row>
      <xdr:rowOff>136525</xdr:rowOff>
    </xdr:from>
    <xdr:to>
      <xdr:col>12</xdr:col>
      <xdr:colOff>152400</xdr:colOff>
      <xdr:row>21</xdr:row>
      <xdr:rowOff>34925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1E04664-8FD7-F771-2C96-20EF35753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64D5F1CF-97C3-4608-AF8F-F2CB8EAD8EB4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6AA68429-CEEC-4AB7-89E6-8D921470350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8" xr16:uid="{BF25BB33-0066-410F-87FB-FDFD5B21BCEB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69FDD911-7FDF-4843-A2C9-D3E3E58D7543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A9729A4D-8690-4E8E-85DE-59B4C429D26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6050DEA5-D640-4A76-B915-084DF5F8342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3203046E-D01C-429E-8A95-D1A192D7106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BA24EA60-D9DF-4344-8EAA-DA482D726B1D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CEE9E0C7-4F06-42CF-B398-B367DB23900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B1A5EFFC-736B-4ECD-9A24-DC175FEE4080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8DC84A14-90A8-4AB5-B0E7-2A57DB22E17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60279B8-1750-4DBC-AAC5-3548316B06E7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C102205-44D6-427C-8AA1-1D03A187C914}" name="whisper_single3_log_auto_1___1" displayName="whisper_single3_log_auto_1___1" ref="A1:I6" tableType="queryTable" totalsRowShown="0">
  <autoFilter ref="A1:I6" xr:uid="{9C102205-44D6-427C-8AA1-1D03A187C914}"/>
  <tableColumns count="9">
    <tableColumn id="1" xr3:uid="{16856FA3-B2D0-46AC-AA6A-CFEB14810F57}" uniqueName="1" name="seed" queryTableFieldId="1"/>
    <tableColumn id="2" xr3:uid="{E3B061AE-DD8B-44B9-B839-22527D14FEA6}" uniqueName="2" name="acc_test" queryTableFieldId="2"/>
    <tableColumn id="3" xr3:uid="{1ACD8C54-5E5C-494A-81EA-5576E50FE6EF}" uniqueName="3" name="f1" queryTableFieldId="3"/>
    <tableColumn id="4" xr3:uid="{FBA838F4-160E-42AF-8F78-8F8E268488E0}" uniqueName="4" name="precision" queryTableFieldId="4"/>
    <tableColumn id="5" xr3:uid="{63443E85-1CE4-458A-B04C-3688D5A98020}" uniqueName="5" name="recall" queryTableFieldId="5"/>
    <tableColumn id="6" xr3:uid="{A043BDC0-45B8-4B5F-810E-D530C989D44A}" uniqueName="6" name="acc_test_vote" queryTableFieldId="6"/>
    <tableColumn id="7" xr3:uid="{985C95E5-9FC9-4BA4-BBB7-55004F3991C5}" uniqueName="7" name="f1_vote" queryTableFieldId="7"/>
    <tableColumn id="8" xr3:uid="{02F4DBBB-E3B7-4F2C-AA3B-ADF7C68E3C57}" uniqueName="8" name="precision_vote" queryTableFieldId="8"/>
    <tableColumn id="9" xr3:uid="{1AFC7E6F-80E1-42A5-BC83-FE1FB4D443BE}" uniqueName="9" name="recall_vo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ED9F8-F473-451D-BD5F-B5193ADF53A8}" name="whisper_log_last1_auto_1___1" displayName="whisper_log_last1_auto_1___1" ref="A1:I7" tableType="queryTable" totalsRowCount="1">
  <autoFilter ref="A1:I6" xr:uid="{F5BED9F8-F473-451D-BD5F-B5193ADF53A8}"/>
  <tableColumns count="9">
    <tableColumn id="1" xr3:uid="{51518B7F-8C78-4ED7-87FA-3847C1607F50}" uniqueName="1" name="seed" queryTableFieldId="1"/>
    <tableColumn id="2" xr3:uid="{9AC926AD-4150-4D02-BAE0-7288F07CB9BE}" uniqueName="2" name="acc_test" totalsRowFunction="average" queryTableFieldId="2"/>
    <tableColumn id="3" xr3:uid="{FD09B7EC-6AEA-491D-9BB9-5D7A71FEA817}" uniqueName="3" name="f1" totalsRowFunction="average" queryTableFieldId="3"/>
    <tableColumn id="4" xr3:uid="{C685B9F0-6530-47CB-A037-BE01BD9136FB}" uniqueName="4" name="precision" totalsRowFunction="average" queryTableFieldId="4"/>
    <tableColumn id="5" xr3:uid="{E923983D-B641-4930-90C5-905550C16673}" uniqueName="5" name="recall" totalsRowFunction="average" queryTableFieldId="5"/>
    <tableColumn id="6" xr3:uid="{A5B42EA5-D707-4214-9EC2-801F6F1B0BFE}" uniqueName="6" name="acc_test_vote" totalsRowFunction="average" queryTableFieldId="6"/>
    <tableColumn id="7" xr3:uid="{DCC0D2E3-D37C-4048-80AB-96F8C0546F83}" uniqueName="7" name="f1_vote" totalsRowFunction="average" queryTableFieldId="7"/>
    <tableColumn id="8" xr3:uid="{1FB4DA38-96D4-43DB-975B-D5FD9E80AD5B}" uniqueName="8" name="precision_vote" totalsRowFunction="average" queryTableFieldId="8"/>
    <tableColumn id="9" xr3:uid="{F3259779-BEB1-46BA-8E1D-304169640355}" uniqueName="9" name="recall_vote" totalsRowFunction="averag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FABAAF5-68A8-4755-8F99-892D2316CDF6}" name="whisper_single11_log_50seed_acc_h128_v512_0norm_ode250_step50__2" displayName="whisper_single11_log_50seed_acc_h128_v512_0norm_ode250_step50__2" ref="A1:I6" tableType="queryTable" totalsRowShown="0">
  <autoFilter ref="A1:I6" xr:uid="{2FABAAF5-68A8-4755-8F99-892D2316CDF6}"/>
  <tableColumns count="9">
    <tableColumn id="1" xr3:uid="{D98890A8-4A4F-4B97-A1FC-303B893F6AE3}" uniqueName="1" name="seed" queryTableFieldId="1"/>
    <tableColumn id="2" xr3:uid="{59CFECF8-E088-472D-83AD-43F1DD69982D}" uniqueName="2" name="acc_test" queryTableFieldId="2"/>
    <tableColumn id="3" xr3:uid="{C841A965-441B-4AA9-B3B1-9B3111F62639}" uniqueName="3" name="f1" queryTableFieldId="3"/>
    <tableColumn id="4" xr3:uid="{E9D12B91-74A5-464E-BE4F-9587F79A9171}" uniqueName="4" name="precision" queryTableFieldId="4"/>
    <tableColumn id="5" xr3:uid="{35142585-B5D5-4046-8FE2-6869071BF98A}" uniqueName="5" name="recall" queryTableFieldId="5"/>
    <tableColumn id="6" xr3:uid="{44A144EF-C426-424F-835B-B7A061B00445}" uniqueName="6" name="acc_test_vote" queryTableFieldId="6"/>
    <tableColumn id="7" xr3:uid="{AD49A555-607F-4113-946E-2043E677A6EC}" uniqueName="7" name="f1_vote" queryTableFieldId="7"/>
    <tableColumn id="8" xr3:uid="{3EF923D7-FD68-4A9A-B7B6-2ABCA2F6C0BA}" uniqueName="8" name="precision_vote" queryTableFieldId="8"/>
    <tableColumn id="9" xr3:uid="{EB8FBE37-B81B-489B-943D-A33FB1D15238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85CF1FA-EF60-42FA-B33D-28A75C3763DD}" name="whisper_single10_log_50seed_acc_h128_v512_0norm_ode250_step50" displayName="whisper_single10_log_50seed_acc_h128_v512_0norm_ode250_step50" ref="A1:I6" tableType="queryTable" totalsRowShown="0">
  <autoFilter ref="A1:I6" xr:uid="{485CF1FA-EF60-42FA-B33D-28A75C3763DD}"/>
  <tableColumns count="9">
    <tableColumn id="1" xr3:uid="{76080B8B-A958-4248-9BB1-C00BD92B9F46}" uniqueName="1" name="seed" queryTableFieldId="1"/>
    <tableColumn id="2" xr3:uid="{172271B8-9F11-4CEE-931B-BA28E7377F73}" uniqueName="2" name="acc_test" queryTableFieldId="2"/>
    <tableColumn id="3" xr3:uid="{24B6B04F-E901-403D-8598-3B403645E370}" uniqueName="3" name="f1" queryTableFieldId="3"/>
    <tableColumn id="4" xr3:uid="{898988A5-8CC7-48F2-B043-B1A6FD7E2422}" uniqueName="4" name="precision" queryTableFieldId="4"/>
    <tableColumn id="5" xr3:uid="{4384913E-0EB8-4046-8AE7-9C6B0E6D2CF3}" uniqueName="5" name="recall" queryTableFieldId="5"/>
    <tableColumn id="6" xr3:uid="{4906ECCB-4597-4A63-8981-4A1419BBEB27}" uniqueName="6" name="acc_test_vote" queryTableFieldId="6"/>
    <tableColumn id="7" xr3:uid="{FCE5DFDB-CD62-49F0-9CC2-1E4FE4242702}" uniqueName="7" name="f1_vote" queryTableFieldId="7"/>
    <tableColumn id="8" xr3:uid="{898CDAAD-59AF-4F93-B521-2407055BA04F}" uniqueName="8" name="precision_vote" queryTableFieldId="8"/>
    <tableColumn id="9" xr3:uid="{DE6443A9-810F-4B59-AD6D-EC4BB4C3ACB1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9078633-859E-4FAD-B923-3C27E88EDCAA}" name="whisper_single9_log_auto_1___1" displayName="whisper_single9_log_auto_1___1" ref="A1:I6" tableType="queryTable" totalsRowShown="0">
  <autoFilter ref="A1:I6" xr:uid="{19078633-859E-4FAD-B923-3C27E88EDCAA}"/>
  <tableColumns count="9">
    <tableColumn id="1" xr3:uid="{063C32CE-E96C-4FEA-A44F-7880C9FF5D61}" uniqueName="1" name="seed" queryTableFieldId="1"/>
    <tableColumn id="2" xr3:uid="{683A9FE3-66D8-4A21-8144-774CFACA28E7}" uniqueName="2" name="acc_test" queryTableFieldId="2"/>
    <tableColumn id="3" xr3:uid="{B00AB5AD-C46B-4EB9-9942-B2AC7677DED8}" uniqueName="3" name="f1" queryTableFieldId="3"/>
    <tableColumn id="4" xr3:uid="{935FCD78-2F0E-41E7-BF6A-78ECFE97D73A}" uniqueName="4" name="precision" queryTableFieldId="4"/>
    <tableColumn id="5" xr3:uid="{9092497C-A3AD-4459-8FD0-E4E35B89D755}" uniqueName="5" name="recall" queryTableFieldId="5"/>
    <tableColumn id="6" xr3:uid="{8E89DC7C-3F4F-4E85-8538-D6F302362581}" uniqueName="6" name="acc_test_vote" queryTableFieldId="6"/>
    <tableColumn id="7" xr3:uid="{220495D6-E199-4163-86F4-90C2938CD6AB}" uniqueName="7" name="f1_vote" queryTableFieldId="7"/>
    <tableColumn id="8" xr3:uid="{897375DA-E390-466C-B567-F1916245C1D3}" uniqueName="8" name="precision_vote" queryTableFieldId="8"/>
    <tableColumn id="9" xr3:uid="{BB0C4D46-8FAA-483F-97A6-32E32DF81EFB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BF1E11E-186C-4C98-8AE2-66D0975E976D}" name="whisper_single8_log_auto_1___1" displayName="whisper_single8_log_auto_1___1" ref="A1:I6" tableType="queryTable" totalsRowShown="0">
  <autoFilter ref="A1:I6" xr:uid="{EBF1E11E-186C-4C98-8AE2-66D0975E976D}"/>
  <tableColumns count="9">
    <tableColumn id="1" xr3:uid="{5BFC845E-59D9-4D31-9AFB-1F296AC97CA9}" uniqueName="1" name="seed" queryTableFieldId="1"/>
    <tableColumn id="2" xr3:uid="{24D131CE-2380-4345-91FF-521A76DA0C82}" uniqueName="2" name="acc_test" queryTableFieldId="2"/>
    <tableColumn id="3" xr3:uid="{CDAA37ED-0E03-4268-B059-43348115094C}" uniqueName="3" name="f1" queryTableFieldId="3"/>
    <tableColumn id="4" xr3:uid="{5262E292-8DCF-4333-BCAF-D979EF9097C4}" uniqueName="4" name="precision" queryTableFieldId="4"/>
    <tableColumn id="5" xr3:uid="{FD9BE165-63AE-4D80-8261-73E0580EA848}" uniqueName="5" name="recall" queryTableFieldId="5"/>
    <tableColumn id="6" xr3:uid="{FDA3A0D1-F517-40C4-84D9-7FC262E63D2F}" uniqueName="6" name="acc_test_vote" queryTableFieldId="6"/>
    <tableColumn id="7" xr3:uid="{3FB8EB70-241E-4CB4-A9E5-5D18525CB410}" uniqueName="7" name="f1_vote" queryTableFieldId="7"/>
    <tableColumn id="8" xr3:uid="{B2FA825E-C5F1-4B6B-84DA-2D3F35AB5E9B}" uniqueName="8" name="precision_vote" queryTableFieldId="8"/>
    <tableColumn id="9" xr3:uid="{1EED1AF0-4E60-4051-BFF9-FD69817C0E17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FCC33B-06AD-445A-BBF2-E1148716C09B}" name="whisper_single7_log_auto_1___1" displayName="whisper_single7_log_auto_1___1" ref="A1:I6" tableType="queryTable" totalsRowShown="0">
  <autoFilter ref="A1:I6" xr:uid="{D8FCC33B-06AD-445A-BBF2-E1148716C09B}"/>
  <tableColumns count="9">
    <tableColumn id="1" xr3:uid="{3BE60E64-BF9D-44E6-9A7A-FA5D8FCD5849}" uniqueName="1" name="seed" queryTableFieldId="1"/>
    <tableColumn id="2" xr3:uid="{3A43EE7E-CB54-45A7-B608-B663615B5423}" uniqueName="2" name="acc_test" queryTableFieldId="2"/>
    <tableColumn id="3" xr3:uid="{FF3F2897-E35C-4BD1-B5DC-5CFFCDF4FB2D}" uniqueName="3" name="f1" queryTableFieldId="3"/>
    <tableColumn id="4" xr3:uid="{FE060D49-4218-440C-81BD-B509A3C30244}" uniqueName="4" name="precision" queryTableFieldId="4"/>
    <tableColumn id="5" xr3:uid="{169016F5-9054-4AD9-AA00-2C72376168CA}" uniqueName="5" name="recall" queryTableFieldId="5"/>
    <tableColumn id="6" xr3:uid="{6F7B5448-4C06-46C7-B46C-F97B1672BB61}" uniqueName="6" name="acc_test_vote" queryTableFieldId="6"/>
    <tableColumn id="7" xr3:uid="{25D828A4-EABE-4798-BE38-24292660B289}" uniqueName="7" name="f1_vote" queryTableFieldId="7"/>
    <tableColumn id="8" xr3:uid="{8D7F8421-5DE1-487F-A8D3-B9C07C6E64DB}" uniqueName="8" name="precision_vote" queryTableFieldId="8"/>
    <tableColumn id="9" xr3:uid="{2467A58B-4549-484D-A405-2576FEF86521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D54207B-C16B-47D7-84CC-DACDA66BE566}" name="whisper_single6_log_auto_1___1" displayName="whisper_single6_log_auto_1___1" ref="A1:I6" tableType="queryTable" totalsRowShown="0">
  <autoFilter ref="A1:I6" xr:uid="{6D54207B-C16B-47D7-84CC-DACDA66BE566}"/>
  <tableColumns count="9">
    <tableColumn id="1" xr3:uid="{181DBB58-EFCC-4D7B-8736-DBA548D025BD}" uniqueName="1" name="seed" queryTableFieldId="1"/>
    <tableColumn id="2" xr3:uid="{6AACFA7F-5700-48E1-A5AD-0846D32E324A}" uniqueName="2" name="acc_test" queryTableFieldId="2"/>
    <tableColumn id="3" xr3:uid="{BE7ACFDA-820B-4D7B-906E-52B5FC57BD3F}" uniqueName="3" name="f1" queryTableFieldId="3"/>
    <tableColumn id="4" xr3:uid="{2D50DA8E-FE27-462E-8D5F-C62F9B065644}" uniqueName="4" name="precision" queryTableFieldId="4"/>
    <tableColumn id="5" xr3:uid="{3EB961F3-B49A-4E0F-966E-B8764B0E94D0}" uniqueName="5" name="recall" queryTableFieldId="5"/>
    <tableColumn id="6" xr3:uid="{815FFB46-A1AE-4D77-AA1A-8A9B1A59ECF6}" uniqueName="6" name="acc_test_vote" queryTableFieldId="6"/>
    <tableColumn id="7" xr3:uid="{7FCEBA0F-9558-475D-BC62-90D9500DCCEE}" uniqueName="7" name="f1_vote" queryTableFieldId="7"/>
    <tableColumn id="8" xr3:uid="{5DF5FEA3-1985-406A-9D03-29ECAF7F8434}" uniqueName="8" name="precision_vote" queryTableFieldId="8"/>
    <tableColumn id="9" xr3:uid="{C795899F-B464-4DCD-A1DF-C644B8261E16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E1CA3A0-6CF7-44FA-AE24-2009756DDA8A}" name="whisper_single5_log_auto_1___1" displayName="whisper_single5_log_auto_1___1" ref="A1:I6" tableType="queryTable" totalsRowShown="0">
  <autoFilter ref="A1:I6" xr:uid="{FE1CA3A0-6CF7-44FA-AE24-2009756DDA8A}"/>
  <tableColumns count="9">
    <tableColumn id="1" xr3:uid="{5CBE7F04-16FB-4C1A-A986-B713D172892B}" uniqueName="1" name="seed" queryTableFieldId="1"/>
    <tableColumn id="2" xr3:uid="{957822F6-3A19-4FE2-B62A-9D739B03B732}" uniqueName="2" name="acc_test" queryTableFieldId="2"/>
    <tableColumn id="3" xr3:uid="{3445D9C1-2C97-4A71-B257-9B06395286F9}" uniqueName="3" name="f1" queryTableFieldId="3"/>
    <tableColumn id="4" xr3:uid="{C7862B2B-16EC-4E25-A577-FB7E00129A8B}" uniqueName="4" name="precision" queryTableFieldId="4"/>
    <tableColumn id="5" xr3:uid="{5BEEDD73-CF06-4B47-B6DA-17D6391499AA}" uniqueName="5" name="recall" queryTableFieldId="5"/>
    <tableColumn id="6" xr3:uid="{486ADC85-6A68-40BA-9A3B-C0EFBA7E2CB5}" uniqueName="6" name="acc_test_vote" queryTableFieldId="6"/>
    <tableColumn id="7" xr3:uid="{77FDFF2E-1F6E-4727-A537-E8C2C51C43D2}" uniqueName="7" name="f1_vote" queryTableFieldId="7"/>
    <tableColumn id="8" xr3:uid="{1EFDDD1C-94C6-4AF2-833B-5F0FA45145BC}" uniqueName="8" name="precision_vote" queryTableFieldId="8"/>
    <tableColumn id="9" xr3:uid="{27CB69EC-97F2-4566-BE80-990721F75A7E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1607FA8-A158-4C51-ADE0-331B2C58E338}" name="whisper_single4_log_auto_1___1" displayName="whisper_single4_log_auto_1___1" ref="A1:I6" tableType="queryTable" totalsRowShown="0">
  <autoFilter ref="A1:I6" xr:uid="{41607FA8-A158-4C51-ADE0-331B2C58E338}"/>
  <tableColumns count="9">
    <tableColumn id="1" xr3:uid="{5974E4DB-4989-42CB-B7B0-B88B43F738A0}" uniqueName="1" name="seed" queryTableFieldId="1"/>
    <tableColumn id="2" xr3:uid="{C1D2FC53-5B8F-4FFE-8165-946CCDEFF341}" uniqueName="2" name="acc_test" queryTableFieldId="2"/>
    <tableColumn id="3" xr3:uid="{DE5467D7-676D-4A5D-B35E-311B65B4F584}" uniqueName="3" name="f1" queryTableFieldId="3"/>
    <tableColumn id="4" xr3:uid="{8C9AD42A-1FBB-43C1-A889-9ECE1B1049F6}" uniqueName="4" name="precision" queryTableFieldId="4"/>
    <tableColumn id="5" xr3:uid="{FE82B7AD-9DDC-4354-B8CA-FA3FEA19A03C}" uniqueName="5" name="recall" queryTableFieldId="5"/>
    <tableColumn id="6" xr3:uid="{CDCF7C46-815A-429E-9B81-186B26C04764}" uniqueName="6" name="acc_test_vote" queryTableFieldId="6"/>
    <tableColumn id="7" xr3:uid="{96F5DEA8-F0AE-482B-A391-BFE6B515C063}" uniqueName="7" name="f1_vote" queryTableFieldId="7"/>
    <tableColumn id="8" xr3:uid="{70A95B09-77F9-4F0B-A1D0-0AED14C88C7E}" uniqueName="8" name="precision_vote" queryTableFieldId="8"/>
    <tableColumn id="9" xr3:uid="{EEF9A816-42FC-45DE-A6C4-3D29784FED85}" uniqueName="9" name="recall_vot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C0DC06-636F-47C8-B769-7A6B39CE21F2}" name="whisper_single2_log_auto_1___1" displayName="whisper_single2_log_auto_1___1" ref="A1:I6" tableType="queryTable" totalsRowShown="0">
  <autoFilter ref="A1:I6" xr:uid="{D7C0DC06-636F-47C8-B769-7A6B39CE21F2}"/>
  <tableColumns count="9">
    <tableColumn id="1" xr3:uid="{86CCC95D-BE5A-4352-9B28-F96244AB4B32}" uniqueName="1" name="seed" queryTableFieldId="1"/>
    <tableColumn id="2" xr3:uid="{35D610ED-46DF-4AB5-9E75-A5A100F1FB0E}" uniqueName="2" name="acc_test" queryTableFieldId="2"/>
    <tableColumn id="3" xr3:uid="{B25971EC-D817-4A53-ABE3-A391A4255C07}" uniqueName="3" name="f1" queryTableFieldId="3"/>
    <tableColumn id="4" xr3:uid="{A15A988A-87B4-4D09-987C-509A1D2E97D8}" uniqueName="4" name="precision" queryTableFieldId="4"/>
    <tableColumn id="5" xr3:uid="{C0032900-C148-408F-B91F-4FCEE341A7F0}" uniqueName="5" name="recall" queryTableFieldId="5"/>
    <tableColumn id="6" xr3:uid="{0494371A-2F83-4FBD-9929-6851DC0034A4}" uniqueName="6" name="acc_test_vote" queryTableFieldId="6"/>
    <tableColumn id="7" xr3:uid="{404EDF83-2E54-47BA-A75D-07404B25DA0D}" uniqueName="7" name="f1_vote" queryTableFieldId="7"/>
    <tableColumn id="8" xr3:uid="{EFAFED00-20DE-4504-B925-8F8FDB9BBB21}" uniqueName="8" name="precision_vote" queryTableFieldId="8"/>
    <tableColumn id="9" xr3:uid="{90C073CE-E609-442F-9E2A-2AFC8A8E33D3}" uniqueName="9" name="recall_vot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649F37-B5DA-4F79-97FA-8F5BF32EE35E}" name="whisper_single1_log_auto_1___1" displayName="whisper_single1_log_auto_1___1" ref="A1:I6" tableType="queryTable" totalsRowShown="0">
  <autoFilter ref="A1:I6" xr:uid="{F0649F37-B5DA-4F79-97FA-8F5BF32EE35E}"/>
  <tableColumns count="9">
    <tableColumn id="1" xr3:uid="{A30FFC35-E292-41E3-B709-3B5D977D1EDE}" uniqueName="1" name="seed" queryTableFieldId="1"/>
    <tableColumn id="2" xr3:uid="{D590CFF0-7DD3-4D0F-B658-6ED173D4768D}" uniqueName="2" name="acc_test" queryTableFieldId="2"/>
    <tableColumn id="3" xr3:uid="{B7C38FEF-9454-4F21-9DBC-9A8B0EA13DA1}" uniqueName="3" name="f1" queryTableFieldId="3"/>
    <tableColumn id="4" xr3:uid="{D4A2D6AF-FF56-4008-83C9-BC14BA3DB5CB}" uniqueName="4" name="precision" queryTableFieldId="4"/>
    <tableColumn id="5" xr3:uid="{FA571A90-E570-461F-948D-4D5451213A6F}" uniqueName="5" name="recall" queryTableFieldId="5"/>
    <tableColumn id="6" xr3:uid="{33C98733-02B3-4FA5-ABA8-5E6E9DC7FFDD}" uniqueName="6" name="acc_test_vote" queryTableFieldId="6"/>
    <tableColumn id="7" xr3:uid="{07624A22-69E6-4CEA-847B-DE1823BFD9BF}" uniqueName="7" name="f1_vote" queryTableFieldId="7"/>
    <tableColumn id="8" xr3:uid="{3216DDAA-3E61-462C-99C8-7197874D7F68}" uniqueName="8" name="precision_vote" queryTableFieldId="8"/>
    <tableColumn id="9" xr3:uid="{DB60EF54-C271-4413-87BA-DC8AE390DF9E}" uniqueName="9" name="recall_vo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1237-A2D6-4861-A1F5-070487E89782}">
  <sheetPr codeName="Sheet1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0.6619718309859155</v>
      </c>
      <c r="C2">
        <v>0.66666666666666663</v>
      </c>
      <c r="D2">
        <v>0.64864864864864868</v>
      </c>
      <c r="E2">
        <v>0.68571428571428572</v>
      </c>
      <c r="F2">
        <v>0.6619718309859155</v>
      </c>
      <c r="G2">
        <v>0.625</v>
      </c>
      <c r="H2">
        <v>0.68965517241379315</v>
      </c>
      <c r="I2">
        <v>0.5714285714285714</v>
      </c>
    </row>
    <row r="3" spans="1:9" x14ac:dyDescent="0.3">
      <c r="A3">
        <v>1002</v>
      </c>
      <c r="B3">
        <v>0.63380281690140849</v>
      </c>
      <c r="C3">
        <v>0.64864864864864868</v>
      </c>
      <c r="D3">
        <v>0.61538461538461542</v>
      </c>
      <c r="E3">
        <v>0.68571428571428572</v>
      </c>
      <c r="F3">
        <v>0.63380281690140849</v>
      </c>
      <c r="G3">
        <v>0.62857142857142856</v>
      </c>
      <c r="H3">
        <v>0.62857142857142856</v>
      </c>
      <c r="I3">
        <v>0.62857142857142856</v>
      </c>
    </row>
    <row r="4" spans="1:9" x14ac:dyDescent="0.3">
      <c r="A4">
        <v>1003</v>
      </c>
      <c r="B4">
        <v>0.6619718309859155</v>
      </c>
      <c r="C4">
        <v>0.6470588235294118</v>
      </c>
      <c r="D4">
        <v>0.66666666666666663</v>
      </c>
      <c r="E4">
        <v>0.62857142857142856</v>
      </c>
      <c r="F4">
        <v>0.676056338028169</v>
      </c>
      <c r="G4">
        <v>0.64615384615384619</v>
      </c>
      <c r="H4">
        <v>0.7</v>
      </c>
      <c r="I4">
        <v>0.6</v>
      </c>
    </row>
    <row r="5" spans="1:9" x14ac:dyDescent="0.3">
      <c r="A5">
        <v>1004</v>
      </c>
      <c r="B5">
        <v>0.6619718309859155</v>
      </c>
      <c r="C5">
        <v>0.65714285714285714</v>
      </c>
      <c r="D5">
        <v>0.65714285714285714</v>
      </c>
      <c r="E5">
        <v>0.65714285714285714</v>
      </c>
      <c r="F5">
        <v>0.647887323943662</v>
      </c>
      <c r="G5">
        <v>0.61538461538461542</v>
      </c>
      <c r="H5">
        <v>0.66666666666666663</v>
      </c>
      <c r="I5">
        <v>0.5714285714285714</v>
      </c>
    </row>
    <row r="6" spans="1:9" x14ac:dyDescent="0.3">
      <c r="A6">
        <v>1005</v>
      </c>
      <c r="B6">
        <v>0.647887323943662</v>
      </c>
      <c r="C6">
        <v>0.60317460317460314</v>
      </c>
      <c r="D6">
        <v>0.6785714285714286</v>
      </c>
      <c r="E6">
        <v>0.54285714285714282</v>
      </c>
      <c r="F6">
        <v>0.61971830985915488</v>
      </c>
      <c r="G6">
        <v>0.52631578947368418</v>
      </c>
      <c r="H6">
        <v>0.68181818181818177</v>
      </c>
      <c r="I6">
        <v>0.42857142857142855</v>
      </c>
    </row>
    <row r="7" spans="1:9" x14ac:dyDescent="0.3">
      <c r="B7">
        <f>AVERAGE(B2:B6)</f>
        <v>0.6535211267605634</v>
      </c>
      <c r="C7">
        <f t="shared" ref="C7:I7" si="0">AVERAGE(C2:C6)</f>
        <v>0.64453831983243748</v>
      </c>
      <c r="D7">
        <f t="shared" si="0"/>
        <v>0.65328284328284325</v>
      </c>
      <c r="E7">
        <f t="shared" si="0"/>
        <v>0.6399999999999999</v>
      </c>
      <c r="F7">
        <f t="shared" si="0"/>
        <v>0.647887323943662</v>
      </c>
      <c r="G7">
        <f t="shared" si="0"/>
        <v>0.60828513591671485</v>
      </c>
      <c r="H7">
        <f t="shared" si="0"/>
        <v>0.67334228989401401</v>
      </c>
      <c r="I7">
        <f t="shared" si="0"/>
        <v>0.55999999999999983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F1AC-AFF3-4183-8A5B-19B64F359697}">
  <sheetPr codeName="Sheet2"/>
  <dimension ref="A1:I7"/>
  <sheetViews>
    <sheetView topLeftCell="B1" workbookViewId="0">
      <selection activeCell="F14" sqref="F14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0.85915492957746475</v>
      </c>
      <c r="C2">
        <v>0.86111111111111116</v>
      </c>
      <c r="D2">
        <v>0.83783783783783783</v>
      </c>
      <c r="E2">
        <v>0.88571428571428568</v>
      </c>
      <c r="F2">
        <v>0.85915492957746475</v>
      </c>
      <c r="G2">
        <v>0.8571428571428571</v>
      </c>
      <c r="H2">
        <v>0.8571428571428571</v>
      </c>
      <c r="I2">
        <v>0.8571428571428571</v>
      </c>
    </row>
    <row r="3" spans="1:9" x14ac:dyDescent="0.3">
      <c r="A3">
        <v>1002</v>
      </c>
      <c r="B3">
        <v>0.83098591549295775</v>
      </c>
      <c r="C3">
        <v>0.82352941176470584</v>
      </c>
      <c r="D3">
        <v>0.84848484848484851</v>
      </c>
      <c r="E3">
        <v>0.8</v>
      </c>
      <c r="F3">
        <v>0.84507042253521125</v>
      </c>
      <c r="G3">
        <v>0.83582089552238803</v>
      </c>
      <c r="H3">
        <v>0.875</v>
      </c>
      <c r="I3">
        <v>0.8</v>
      </c>
    </row>
    <row r="4" spans="1:9" x14ac:dyDescent="0.3">
      <c r="A4">
        <v>1003</v>
      </c>
      <c r="B4">
        <v>0.81690140845070425</v>
      </c>
      <c r="C4">
        <v>0.8</v>
      </c>
      <c r="D4">
        <v>0.8666666666666667</v>
      </c>
      <c r="E4">
        <v>0.74285714285714288</v>
      </c>
      <c r="F4">
        <v>0.84507042253521125</v>
      </c>
      <c r="G4">
        <v>0.83076923076923082</v>
      </c>
      <c r="H4">
        <v>0.9</v>
      </c>
      <c r="I4">
        <v>0.77142857142857146</v>
      </c>
    </row>
    <row r="5" spans="1:9" x14ac:dyDescent="0.3">
      <c r="A5">
        <v>1004</v>
      </c>
      <c r="B5">
        <v>0.85915492957746475</v>
      </c>
      <c r="C5">
        <v>0.86842105263157898</v>
      </c>
      <c r="D5">
        <v>0.80487804878048785</v>
      </c>
      <c r="E5">
        <v>0.94285714285714284</v>
      </c>
      <c r="F5">
        <v>0.81690140845070425</v>
      </c>
      <c r="G5">
        <v>0.82191780821917804</v>
      </c>
      <c r="H5">
        <v>0.78947368421052633</v>
      </c>
      <c r="I5">
        <v>0.8571428571428571</v>
      </c>
    </row>
    <row r="6" spans="1:9" x14ac:dyDescent="0.3">
      <c r="A6">
        <v>1005</v>
      </c>
      <c r="B6">
        <v>0.83098591549295775</v>
      </c>
      <c r="C6">
        <v>0.83333333333333337</v>
      </c>
      <c r="D6">
        <v>0.81081081081081086</v>
      </c>
      <c r="E6">
        <v>0.8571428571428571</v>
      </c>
      <c r="F6">
        <v>0.83098591549295775</v>
      </c>
      <c r="G6">
        <v>0.83333333333333337</v>
      </c>
      <c r="H6">
        <v>0.81081081081081086</v>
      </c>
      <c r="I6">
        <v>0.8571428571428571</v>
      </c>
    </row>
    <row r="7" spans="1:9" x14ac:dyDescent="0.3">
      <c r="B7">
        <f>SUBTOTAL(101,whisper_log_last1_auto_1___1[acc_test])</f>
        <v>0.83943661971830996</v>
      </c>
      <c r="C7">
        <f>SUBTOTAL(101,whisper_log_last1_auto_1___1[f1])</f>
        <v>0.83727898176814575</v>
      </c>
      <c r="D7">
        <f>SUBTOTAL(101,whisper_log_last1_auto_1___1[precision])</f>
        <v>0.8337356425161303</v>
      </c>
      <c r="E7">
        <f>SUBTOTAL(101,whisper_log_last1_auto_1___1[recall])</f>
        <v>0.84571428571428575</v>
      </c>
      <c r="F7">
        <f>SUBTOTAL(101,whisper_log_last1_auto_1___1[acc_test_vote])</f>
        <v>0.83943661971830985</v>
      </c>
      <c r="G7">
        <f>SUBTOTAL(101,whisper_log_last1_auto_1___1[f1_vote])</f>
        <v>0.83579682499739738</v>
      </c>
      <c r="H7">
        <f>SUBTOTAL(101,whisper_log_last1_auto_1___1[precision_vote])</f>
        <v>0.84648547043283884</v>
      </c>
      <c r="I7">
        <f>SUBTOTAL(101,whisper_log_last1_auto_1___1[recall_vote])</f>
        <v>0.82857142857142851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7E3A-5FCA-44C9-8516-4476CC83589A}">
  <sheetPr codeName="Sheet3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0.74647887323943662</v>
      </c>
      <c r="C2">
        <v>0.74285714285714288</v>
      </c>
      <c r="D2">
        <v>0.74285714285714288</v>
      </c>
      <c r="E2">
        <v>0.74285714285714288</v>
      </c>
      <c r="F2">
        <v>0.73239436619718312</v>
      </c>
      <c r="G2">
        <v>0.71641791044776115</v>
      </c>
      <c r="H2">
        <v>0.75</v>
      </c>
      <c r="I2">
        <v>0.68571428571428572</v>
      </c>
    </row>
    <row r="3" spans="1:9" x14ac:dyDescent="0.3">
      <c r="A3">
        <v>1002</v>
      </c>
      <c r="B3">
        <v>0.81690140845070425</v>
      </c>
      <c r="C3">
        <v>0.81690140845070425</v>
      </c>
      <c r="D3">
        <v>0.80555555555555558</v>
      </c>
      <c r="E3">
        <v>0.82857142857142863</v>
      </c>
      <c r="F3">
        <v>0.84507042253521125</v>
      </c>
      <c r="G3">
        <v>0.83582089552238803</v>
      </c>
      <c r="H3">
        <v>0.875</v>
      </c>
      <c r="I3">
        <v>0.8</v>
      </c>
    </row>
    <row r="4" spans="1:9" x14ac:dyDescent="0.3">
      <c r="A4">
        <v>1003</v>
      </c>
      <c r="B4">
        <v>0.77464788732394363</v>
      </c>
      <c r="C4">
        <v>0.77142857142857146</v>
      </c>
      <c r="D4">
        <v>0.77142857142857146</v>
      </c>
      <c r="E4">
        <v>0.77142857142857146</v>
      </c>
      <c r="F4">
        <v>0.76056338028169013</v>
      </c>
      <c r="G4">
        <v>0.74626865671641796</v>
      </c>
      <c r="H4">
        <v>0.78125</v>
      </c>
      <c r="I4">
        <v>0.7142857142857143</v>
      </c>
    </row>
    <row r="5" spans="1:9" x14ac:dyDescent="0.3">
      <c r="A5">
        <v>1004</v>
      </c>
      <c r="B5">
        <v>0.80281690140845074</v>
      </c>
      <c r="C5">
        <v>0.81081081081081086</v>
      </c>
      <c r="D5">
        <v>0.76923076923076927</v>
      </c>
      <c r="E5">
        <v>0.8571428571428571</v>
      </c>
      <c r="F5">
        <v>0.78873239436619713</v>
      </c>
      <c r="G5">
        <v>0.78873239436619713</v>
      </c>
      <c r="H5">
        <v>0.77777777777777779</v>
      </c>
      <c r="I5">
        <v>0.8</v>
      </c>
    </row>
    <row r="6" spans="1:9" x14ac:dyDescent="0.3">
      <c r="A6">
        <v>1005</v>
      </c>
      <c r="B6">
        <v>0.81690140845070425</v>
      </c>
      <c r="C6">
        <v>0.81690140845070425</v>
      </c>
      <c r="D6">
        <v>0.80555555555555558</v>
      </c>
      <c r="E6">
        <v>0.82857142857142863</v>
      </c>
      <c r="F6">
        <v>0.78873239436619713</v>
      </c>
      <c r="G6">
        <v>0.78260869565217395</v>
      </c>
      <c r="H6">
        <v>0.79411764705882348</v>
      </c>
      <c r="I6">
        <v>0.77142857142857146</v>
      </c>
    </row>
    <row r="7" spans="1:9" x14ac:dyDescent="0.3">
      <c r="B7">
        <f>AVERAGE(B2:B6)</f>
        <v>0.79154929577464783</v>
      </c>
      <c r="C7">
        <f t="shared" ref="C7:I7" si="0">AVERAGE(C2:C6)</f>
        <v>0.79177986839958669</v>
      </c>
      <c r="D7">
        <f t="shared" si="0"/>
        <v>0.77892551892551898</v>
      </c>
      <c r="E7">
        <f t="shared" si="0"/>
        <v>0.80571428571428572</v>
      </c>
      <c r="F7">
        <f t="shared" si="0"/>
        <v>0.78309859154929573</v>
      </c>
      <c r="G7">
        <f t="shared" si="0"/>
        <v>0.77396971054098762</v>
      </c>
      <c r="H7">
        <f t="shared" si="0"/>
        <v>0.79562908496732021</v>
      </c>
      <c r="I7">
        <f t="shared" si="0"/>
        <v>0.75428571428571423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BABB-A2DB-473C-977A-2AFF7A4FB61F}">
  <sheetPr codeName="Sheet4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0.77464788732394363</v>
      </c>
      <c r="C2">
        <v>0.76470588235294112</v>
      </c>
      <c r="D2">
        <v>0.78787878787878785</v>
      </c>
      <c r="E2">
        <v>0.74285714285714288</v>
      </c>
      <c r="F2">
        <v>0.80281690140845074</v>
      </c>
      <c r="G2">
        <v>0.78787878787878785</v>
      </c>
      <c r="H2">
        <v>0.83870967741935487</v>
      </c>
      <c r="I2">
        <v>0.74285714285714288</v>
      </c>
    </row>
    <row r="3" spans="1:9" x14ac:dyDescent="0.3">
      <c r="A3">
        <v>1002</v>
      </c>
      <c r="B3">
        <v>0.76056338028169013</v>
      </c>
      <c r="C3">
        <v>0.75362318840579712</v>
      </c>
      <c r="D3">
        <v>0.76470588235294112</v>
      </c>
      <c r="E3">
        <v>0.74285714285714288</v>
      </c>
      <c r="F3">
        <v>0.80281690140845074</v>
      </c>
      <c r="G3">
        <v>0.78787878787878785</v>
      </c>
      <c r="H3">
        <v>0.83870967741935487</v>
      </c>
      <c r="I3">
        <v>0.74285714285714288</v>
      </c>
    </row>
    <row r="4" spans="1:9" x14ac:dyDescent="0.3">
      <c r="A4">
        <v>1003</v>
      </c>
      <c r="B4">
        <v>0.84507042253521125</v>
      </c>
      <c r="C4">
        <v>0.84931506849315064</v>
      </c>
      <c r="D4">
        <v>0.81578947368421051</v>
      </c>
      <c r="E4">
        <v>0.88571428571428568</v>
      </c>
      <c r="F4">
        <v>0.83098591549295775</v>
      </c>
      <c r="G4">
        <v>0.82857142857142863</v>
      </c>
      <c r="H4">
        <v>0.82857142857142863</v>
      </c>
      <c r="I4">
        <v>0.82857142857142863</v>
      </c>
    </row>
    <row r="5" spans="1:9" x14ac:dyDescent="0.3">
      <c r="A5">
        <v>1004</v>
      </c>
      <c r="B5">
        <v>0.78873239436619713</v>
      </c>
      <c r="C5">
        <v>0.76923076923076927</v>
      </c>
      <c r="D5">
        <v>0.83333333333333337</v>
      </c>
      <c r="E5">
        <v>0.7142857142857143</v>
      </c>
      <c r="F5">
        <v>0.81690140845070425</v>
      </c>
      <c r="G5">
        <v>0.8</v>
      </c>
      <c r="H5">
        <v>0.8666666666666667</v>
      </c>
      <c r="I5">
        <v>0.74285714285714288</v>
      </c>
    </row>
    <row r="6" spans="1:9" x14ac:dyDescent="0.3">
      <c r="A6">
        <v>1005</v>
      </c>
      <c r="B6">
        <v>0.80281690140845074</v>
      </c>
      <c r="C6">
        <v>0.79411764705882348</v>
      </c>
      <c r="D6">
        <v>0.81818181818181823</v>
      </c>
      <c r="E6">
        <v>0.77142857142857146</v>
      </c>
      <c r="F6">
        <v>0.80281690140845074</v>
      </c>
      <c r="G6">
        <v>0.78125</v>
      </c>
      <c r="H6">
        <v>0.86206896551724133</v>
      </c>
      <c r="I6">
        <v>0.7142857142857143</v>
      </c>
    </row>
    <row r="7" spans="1:9" x14ac:dyDescent="0.3">
      <c r="B7">
        <f>AVERAGE(B2:B6)</f>
        <v>0.79436619718309864</v>
      </c>
      <c r="C7">
        <f t="shared" ref="C7:I7" si="0">AVERAGE(C2:C6)</f>
        <v>0.78619851110829631</v>
      </c>
      <c r="D7">
        <f t="shared" si="0"/>
        <v>0.80397785908621822</v>
      </c>
      <c r="E7">
        <f t="shared" si="0"/>
        <v>0.77142857142857146</v>
      </c>
      <c r="F7">
        <f t="shared" si="0"/>
        <v>0.81126760563380285</v>
      </c>
      <c r="G7">
        <f t="shared" si="0"/>
        <v>0.79711580086580081</v>
      </c>
      <c r="H7">
        <f t="shared" si="0"/>
        <v>0.84694528311880934</v>
      </c>
      <c r="I7">
        <f t="shared" si="0"/>
        <v>0.75428571428571434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C8DA-FBC9-42BA-9F1F-2D0548E3954B}">
  <sheetPr codeName="Sheet5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0.77464788732394363</v>
      </c>
      <c r="C2">
        <v>0.75757575757575757</v>
      </c>
      <c r="D2">
        <v>0.80645161290322576</v>
      </c>
      <c r="E2">
        <v>0.7142857142857143</v>
      </c>
      <c r="F2">
        <v>0.73239436619718312</v>
      </c>
      <c r="G2">
        <v>0.69841269841269837</v>
      </c>
      <c r="H2">
        <v>0.7857142857142857</v>
      </c>
      <c r="I2">
        <v>0.62857142857142856</v>
      </c>
    </row>
    <row r="3" spans="1:9" x14ac:dyDescent="0.3">
      <c r="A3">
        <v>1002</v>
      </c>
      <c r="B3">
        <v>0.77464788732394363</v>
      </c>
      <c r="C3">
        <v>0.77777777777777779</v>
      </c>
      <c r="D3">
        <v>0.7567567567567568</v>
      </c>
      <c r="E3">
        <v>0.8</v>
      </c>
      <c r="F3">
        <v>0.76056338028169013</v>
      </c>
      <c r="G3">
        <v>0.7384615384615385</v>
      </c>
      <c r="H3">
        <v>0.8</v>
      </c>
      <c r="I3">
        <v>0.68571428571428572</v>
      </c>
    </row>
    <row r="4" spans="1:9" x14ac:dyDescent="0.3">
      <c r="A4">
        <v>1003</v>
      </c>
      <c r="B4">
        <v>0.77464788732394363</v>
      </c>
      <c r="C4">
        <v>0.77142857142857146</v>
      </c>
      <c r="D4">
        <v>0.77142857142857146</v>
      </c>
      <c r="E4">
        <v>0.77142857142857146</v>
      </c>
      <c r="F4">
        <v>0.80281690140845074</v>
      </c>
      <c r="G4">
        <v>0.78787878787878785</v>
      </c>
      <c r="H4">
        <v>0.83870967741935487</v>
      </c>
      <c r="I4">
        <v>0.74285714285714288</v>
      </c>
    </row>
    <row r="5" spans="1:9" x14ac:dyDescent="0.3">
      <c r="A5">
        <v>1004</v>
      </c>
      <c r="B5">
        <v>0.76056338028169013</v>
      </c>
      <c r="C5">
        <v>0.76056338028169013</v>
      </c>
      <c r="D5">
        <v>0.75</v>
      </c>
      <c r="E5">
        <v>0.77142857142857146</v>
      </c>
      <c r="F5">
        <v>0.77464788732394363</v>
      </c>
      <c r="G5">
        <v>0.75757575757575757</v>
      </c>
      <c r="H5">
        <v>0.80645161290322576</v>
      </c>
      <c r="I5">
        <v>0.7142857142857143</v>
      </c>
    </row>
    <row r="6" spans="1:9" x14ac:dyDescent="0.3">
      <c r="A6">
        <v>1005</v>
      </c>
      <c r="B6">
        <v>0.71830985915492962</v>
      </c>
      <c r="C6">
        <v>0.72972972972972971</v>
      </c>
      <c r="D6">
        <v>0.69230769230769229</v>
      </c>
      <c r="E6">
        <v>0.77142857142857146</v>
      </c>
      <c r="F6">
        <v>0.74647887323943662</v>
      </c>
      <c r="G6">
        <v>0.73529411764705888</v>
      </c>
      <c r="H6">
        <v>0.75757575757575757</v>
      </c>
      <c r="I6">
        <v>0.7142857142857143</v>
      </c>
    </row>
    <row r="7" spans="1:9" x14ac:dyDescent="0.3">
      <c r="B7">
        <f>AVERAGE(B2:B6)</f>
        <v>0.76056338028169013</v>
      </c>
      <c r="C7">
        <f t="shared" ref="C7:I7" si="0">AVERAGE(C2:C6)</f>
        <v>0.75941504335870536</v>
      </c>
      <c r="D7">
        <f t="shared" si="0"/>
        <v>0.75538892667924917</v>
      </c>
      <c r="E7">
        <f t="shared" si="0"/>
        <v>0.76571428571428568</v>
      </c>
      <c r="F7">
        <f t="shared" si="0"/>
        <v>0.76338028169014083</v>
      </c>
      <c r="G7">
        <f t="shared" si="0"/>
        <v>0.74352457999516819</v>
      </c>
      <c r="H7">
        <f t="shared" si="0"/>
        <v>0.79769026672252485</v>
      </c>
      <c r="I7">
        <f t="shared" si="0"/>
        <v>0.69714285714285718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1685-F6BE-4EF7-897C-3766100CBC17}">
  <sheetPr codeName="Sheet6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0.78873239436619713</v>
      </c>
      <c r="C2">
        <v>0.77611940298507465</v>
      </c>
      <c r="D2">
        <v>0.8125</v>
      </c>
      <c r="E2">
        <v>0.74285714285714288</v>
      </c>
      <c r="F2">
        <v>0.77464788732394363</v>
      </c>
      <c r="G2">
        <v>0.75</v>
      </c>
      <c r="H2">
        <v>0.82758620689655171</v>
      </c>
      <c r="I2">
        <v>0.68571428571428572</v>
      </c>
    </row>
    <row r="3" spans="1:9" x14ac:dyDescent="0.3">
      <c r="A3">
        <v>1002</v>
      </c>
      <c r="B3">
        <v>0.78873239436619713</v>
      </c>
      <c r="C3">
        <v>0.76923076923076927</v>
      </c>
      <c r="D3">
        <v>0.83333333333333337</v>
      </c>
      <c r="E3">
        <v>0.7142857142857143</v>
      </c>
      <c r="F3">
        <v>0.80281690140845074</v>
      </c>
      <c r="G3">
        <v>0.77419354838709675</v>
      </c>
      <c r="H3">
        <v>0.88888888888888884</v>
      </c>
      <c r="I3">
        <v>0.68571428571428572</v>
      </c>
    </row>
    <row r="4" spans="1:9" x14ac:dyDescent="0.3">
      <c r="A4">
        <v>1003</v>
      </c>
      <c r="B4">
        <v>0.83098591549295775</v>
      </c>
      <c r="C4">
        <v>0.82352941176470584</v>
      </c>
      <c r="D4">
        <v>0.84848484848484851</v>
      </c>
      <c r="E4">
        <v>0.8</v>
      </c>
      <c r="F4">
        <v>0.81690140845070425</v>
      </c>
      <c r="G4">
        <v>0.79365079365079361</v>
      </c>
      <c r="H4">
        <v>0.8928571428571429</v>
      </c>
      <c r="I4">
        <v>0.7142857142857143</v>
      </c>
    </row>
    <row r="5" spans="1:9" x14ac:dyDescent="0.3">
      <c r="A5">
        <v>1004</v>
      </c>
      <c r="B5">
        <v>0.77464788732394363</v>
      </c>
      <c r="C5">
        <v>0.76470588235294112</v>
      </c>
      <c r="D5">
        <v>0.78787878787878785</v>
      </c>
      <c r="E5">
        <v>0.74285714285714288</v>
      </c>
      <c r="F5">
        <v>0.77464788732394363</v>
      </c>
      <c r="G5">
        <v>0.75</v>
      </c>
      <c r="H5">
        <v>0.82758620689655171</v>
      </c>
      <c r="I5">
        <v>0.68571428571428572</v>
      </c>
    </row>
    <row r="6" spans="1:9" x14ac:dyDescent="0.3">
      <c r="A6">
        <v>1005</v>
      </c>
      <c r="B6">
        <v>0.78873239436619713</v>
      </c>
      <c r="C6">
        <v>0.77611940298507465</v>
      </c>
      <c r="D6">
        <v>0.8125</v>
      </c>
      <c r="E6">
        <v>0.74285714285714288</v>
      </c>
      <c r="F6">
        <v>0.78873239436619713</v>
      </c>
      <c r="G6">
        <v>0.76923076923076927</v>
      </c>
      <c r="H6">
        <v>0.83333333333333337</v>
      </c>
      <c r="I6">
        <v>0.7142857142857143</v>
      </c>
    </row>
    <row r="7" spans="1:9" x14ac:dyDescent="0.3">
      <c r="B7">
        <f>AVERAGE(B2:B6)</f>
        <v>0.79436619718309853</v>
      </c>
      <c r="C7">
        <f t="shared" ref="C7:I7" si="0">AVERAGE(C2:C6)</f>
        <v>0.78194097386371308</v>
      </c>
      <c r="D7">
        <f t="shared" si="0"/>
        <v>0.81893939393939397</v>
      </c>
      <c r="E7">
        <f t="shared" si="0"/>
        <v>0.74857142857142855</v>
      </c>
      <c r="F7">
        <f t="shared" si="0"/>
        <v>0.79154929577464794</v>
      </c>
      <c r="G7">
        <f t="shared" si="0"/>
        <v>0.76741502225373193</v>
      </c>
      <c r="H7">
        <f t="shared" si="0"/>
        <v>0.85405035577449362</v>
      </c>
      <c r="I7">
        <f t="shared" si="0"/>
        <v>0.69714285714285718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B0BD-84EB-4509-8E23-03FD3F5A55BE}">
  <sheetPr codeName="Sheet7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0.73239436619718312</v>
      </c>
      <c r="C2">
        <v>0.70769230769230773</v>
      </c>
      <c r="D2">
        <v>0.76666666666666672</v>
      </c>
      <c r="E2">
        <v>0.65714285714285714</v>
      </c>
      <c r="F2">
        <v>0.73239436619718312</v>
      </c>
      <c r="G2">
        <v>0.68852459016393441</v>
      </c>
      <c r="H2">
        <v>0.80769230769230771</v>
      </c>
      <c r="I2">
        <v>0.6</v>
      </c>
    </row>
    <row r="3" spans="1:9" x14ac:dyDescent="0.3">
      <c r="A3">
        <v>1002</v>
      </c>
      <c r="B3">
        <v>0.74647887323943662</v>
      </c>
      <c r="C3">
        <v>0.73529411764705888</v>
      </c>
      <c r="D3">
        <v>0.75757575757575757</v>
      </c>
      <c r="E3">
        <v>0.7142857142857143</v>
      </c>
      <c r="F3">
        <v>0.77464788732394363</v>
      </c>
      <c r="G3">
        <v>0.75</v>
      </c>
      <c r="H3">
        <v>0.82758620689655171</v>
      </c>
      <c r="I3">
        <v>0.68571428571428572</v>
      </c>
    </row>
    <row r="4" spans="1:9" x14ac:dyDescent="0.3">
      <c r="A4">
        <v>1003</v>
      </c>
      <c r="B4">
        <v>0.77464788732394363</v>
      </c>
      <c r="C4">
        <v>0.76470588235294112</v>
      </c>
      <c r="D4">
        <v>0.78787878787878785</v>
      </c>
      <c r="E4">
        <v>0.74285714285714288</v>
      </c>
      <c r="F4">
        <v>0.73239436619718312</v>
      </c>
      <c r="G4">
        <v>0.69841269841269837</v>
      </c>
      <c r="H4">
        <v>0.7857142857142857</v>
      </c>
      <c r="I4">
        <v>0.62857142857142856</v>
      </c>
    </row>
    <row r="5" spans="1:9" x14ac:dyDescent="0.3">
      <c r="A5">
        <v>1004</v>
      </c>
      <c r="B5">
        <v>0.76056338028169013</v>
      </c>
      <c r="C5">
        <v>0.74626865671641796</v>
      </c>
      <c r="D5">
        <v>0.78125</v>
      </c>
      <c r="E5">
        <v>0.7142857142857143</v>
      </c>
      <c r="F5">
        <v>0.74647887323943662</v>
      </c>
      <c r="G5">
        <v>0.7</v>
      </c>
      <c r="H5">
        <v>0.84</v>
      </c>
      <c r="I5">
        <v>0.6</v>
      </c>
    </row>
    <row r="6" spans="1:9" x14ac:dyDescent="0.3">
      <c r="A6">
        <v>1005</v>
      </c>
      <c r="B6">
        <v>0.71830985915492962</v>
      </c>
      <c r="C6">
        <v>0.70588235294117652</v>
      </c>
      <c r="D6">
        <v>0.72727272727272729</v>
      </c>
      <c r="E6">
        <v>0.68571428571428572</v>
      </c>
      <c r="F6">
        <v>0.71830985915492962</v>
      </c>
      <c r="G6">
        <v>0.6875</v>
      </c>
      <c r="H6">
        <v>0.75862068965517238</v>
      </c>
      <c r="I6">
        <v>0.62857142857142856</v>
      </c>
    </row>
    <row r="7" spans="1:9" x14ac:dyDescent="0.3">
      <c r="B7">
        <f>AVERAGE(B2:B6)</f>
        <v>0.74647887323943662</v>
      </c>
      <c r="C7">
        <f t="shared" ref="C7:I7" si="0">AVERAGE(C2:C6)</f>
        <v>0.73196866346998046</v>
      </c>
      <c r="D7">
        <f t="shared" si="0"/>
        <v>0.76412878787878802</v>
      </c>
      <c r="E7">
        <f t="shared" si="0"/>
        <v>0.70285714285714285</v>
      </c>
      <c r="F7">
        <f t="shared" si="0"/>
        <v>0.74084507042253522</v>
      </c>
      <c r="G7">
        <f t="shared" si="0"/>
        <v>0.70488745771532657</v>
      </c>
      <c r="H7">
        <f t="shared" si="0"/>
        <v>0.80392269799166338</v>
      </c>
      <c r="I7">
        <f t="shared" si="0"/>
        <v>0.62857142857142856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6B7F-632D-4769-88FB-58967E71C37E}">
  <sheetPr codeName="Sheet8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0.76056338028169013</v>
      </c>
      <c r="C2">
        <v>0.75362318840579712</v>
      </c>
      <c r="D2">
        <v>0.76470588235294112</v>
      </c>
      <c r="E2">
        <v>0.74285714285714288</v>
      </c>
      <c r="F2">
        <v>0.76056338028169013</v>
      </c>
      <c r="G2">
        <v>0.75362318840579712</v>
      </c>
      <c r="H2">
        <v>0.76470588235294112</v>
      </c>
      <c r="I2">
        <v>0.74285714285714288</v>
      </c>
    </row>
    <row r="3" spans="1:9" x14ac:dyDescent="0.3">
      <c r="A3">
        <v>1002</v>
      </c>
      <c r="B3">
        <v>0.76056338028169013</v>
      </c>
      <c r="C3">
        <v>0.76712328767123283</v>
      </c>
      <c r="D3">
        <v>0.73684210526315785</v>
      </c>
      <c r="E3">
        <v>0.8</v>
      </c>
      <c r="F3">
        <v>0.77464788732394363</v>
      </c>
      <c r="G3">
        <v>0.77142857142857146</v>
      </c>
      <c r="H3">
        <v>0.77142857142857146</v>
      </c>
      <c r="I3">
        <v>0.77142857142857146</v>
      </c>
    </row>
    <row r="4" spans="1:9" x14ac:dyDescent="0.3">
      <c r="A4">
        <v>1003</v>
      </c>
      <c r="B4">
        <v>0.77464788732394363</v>
      </c>
      <c r="C4">
        <v>0.77777777777777779</v>
      </c>
      <c r="D4">
        <v>0.7567567567567568</v>
      </c>
      <c r="E4">
        <v>0.8</v>
      </c>
      <c r="F4">
        <v>0.81690140845070425</v>
      </c>
      <c r="G4">
        <v>0.81159420289855078</v>
      </c>
      <c r="H4">
        <v>0.82352941176470584</v>
      </c>
      <c r="I4">
        <v>0.8</v>
      </c>
    </row>
    <row r="5" spans="1:9" x14ac:dyDescent="0.3">
      <c r="A5">
        <v>1004</v>
      </c>
      <c r="B5">
        <v>0.74647887323943662</v>
      </c>
      <c r="C5">
        <v>0.75</v>
      </c>
      <c r="D5">
        <v>0.72972972972972971</v>
      </c>
      <c r="E5">
        <v>0.77142857142857146</v>
      </c>
      <c r="F5">
        <v>0.6901408450704225</v>
      </c>
      <c r="G5">
        <v>0.66666666666666663</v>
      </c>
      <c r="H5">
        <v>0.70967741935483875</v>
      </c>
      <c r="I5">
        <v>0.62857142857142856</v>
      </c>
    </row>
    <row r="6" spans="1:9" x14ac:dyDescent="0.3">
      <c r="A6">
        <v>1005</v>
      </c>
      <c r="B6">
        <v>0.74647887323943662</v>
      </c>
      <c r="C6">
        <v>0.73529411764705888</v>
      </c>
      <c r="D6">
        <v>0.75757575757575757</v>
      </c>
      <c r="E6">
        <v>0.7142857142857143</v>
      </c>
      <c r="F6">
        <v>0.74647887323943662</v>
      </c>
      <c r="G6">
        <v>0.72727272727272729</v>
      </c>
      <c r="H6">
        <v>0.77419354838709675</v>
      </c>
      <c r="I6">
        <v>0.68571428571428572</v>
      </c>
    </row>
    <row r="7" spans="1:9" x14ac:dyDescent="0.3">
      <c r="B7">
        <f>AVERAGE(B2:B6)</f>
        <v>0.75774647887323943</v>
      </c>
      <c r="C7">
        <f t="shared" ref="C7:I7" si="0">AVERAGE(C2:C6)</f>
        <v>0.75676367430037339</v>
      </c>
      <c r="D7">
        <f t="shared" si="0"/>
        <v>0.7491220463356687</v>
      </c>
      <c r="E7">
        <f t="shared" si="0"/>
        <v>0.76571428571428579</v>
      </c>
      <c r="F7">
        <f t="shared" si="0"/>
        <v>0.75774647887323943</v>
      </c>
      <c r="G7">
        <f t="shared" si="0"/>
        <v>0.7461170713344627</v>
      </c>
      <c r="H7">
        <f t="shared" si="0"/>
        <v>0.76870696665763083</v>
      </c>
      <c r="I7">
        <f t="shared" si="0"/>
        <v>0.72571428571428565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1C16-9E8E-4354-B582-CD8DB6FEC491}">
  <sheetPr codeName="Sheet9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0.6901408450704225</v>
      </c>
      <c r="C2">
        <v>0.68571428571428572</v>
      </c>
      <c r="D2">
        <v>0.68571428571428572</v>
      </c>
      <c r="E2">
        <v>0.68571428571428572</v>
      </c>
      <c r="F2">
        <v>0.6901408450704225</v>
      </c>
      <c r="G2">
        <v>0.66666666666666663</v>
      </c>
      <c r="H2">
        <v>0.70967741935483875</v>
      </c>
      <c r="I2">
        <v>0.62857142857142856</v>
      </c>
    </row>
    <row r="3" spans="1:9" x14ac:dyDescent="0.3">
      <c r="A3">
        <v>1002</v>
      </c>
      <c r="B3">
        <v>0.647887323943662</v>
      </c>
      <c r="C3">
        <v>0.647887323943662</v>
      </c>
      <c r="D3">
        <v>0.63888888888888884</v>
      </c>
      <c r="E3">
        <v>0.65714285714285714</v>
      </c>
      <c r="F3">
        <v>0.63380281690140849</v>
      </c>
      <c r="G3">
        <v>0.59375</v>
      </c>
      <c r="H3">
        <v>0.65517241379310343</v>
      </c>
      <c r="I3">
        <v>0.54285714285714282</v>
      </c>
    </row>
    <row r="4" spans="1:9" x14ac:dyDescent="0.3">
      <c r="A4">
        <v>1003</v>
      </c>
      <c r="B4">
        <v>0.676056338028169</v>
      </c>
      <c r="C4">
        <v>0.68493150684931503</v>
      </c>
      <c r="D4">
        <v>0.65789473684210531</v>
      </c>
      <c r="E4">
        <v>0.7142857142857143</v>
      </c>
      <c r="F4">
        <v>0.676056338028169</v>
      </c>
      <c r="G4">
        <v>0.65671641791044777</v>
      </c>
      <c r="H4">
        <v>0.6875</v>
      </c>
      <c r="I4">
        <v>0.62857142857142856</v>
      </c>
    </row>
    <row r="5" spans="1:9" x14ac:dyDescent="0.3">
      <c r="A5">
        <v>1004</v>
      </c>
      <c r="B5">
        <v>0.73239436619718312</v>
      </c>
      <c r="C5">
        <v>0.75324675324675328</v>
      </c>
      <c r="D5">
        <v>0.69047619047619047</v>
      </c>
      <c r="E5">
        <v>0.82857142857142863</v>
      </c>
      <c r="F5">
        <v>0.71830985915492962</v>
      </c>
      <c r="G5">
        <v>0.72222222222222221</v>
      </c>
      <c r="H5">
        <v>0.70270270270270274</v>
      </c>
      <c r="I5">
        <v>0.74285714285714288</v>
      </c>
    </row>
    <row r="6" spans="1:9" x14ac:dyDescent="0.3">
      <c r="A6">
        <v>1005</v>
      </c>
      <c r="B6">
        <v>0.6901408450704225</v>
      </c>
      <c r="C6">
        <v>0.70270270270270274</v>
      </c>
      <c r="D6">
        <v>0.66666666666666663</v>
      </c>
      <c r="E6">
        <v>0.74285714285714288</v>
      </c>
      <c r="F6">
        <v>0.6619718309859155</v>
      </c>
      <c r="G6">
        <v>0.65714285714285714</v>
      </c>
      <c r="H6">
        <v>0.65714285714285714</v>
      </c>
      <c r="I6">
        <v>0.65714285714285714</v>
      </c>
    </row>
    <row r="7" spans="1:9" x14ac:dyDescent="0.3">
      <c r="B7">
        <f>AVERAGE(B2:B6)</f>
        <v>0.6873239436619718</v>
      </c>
      <c r="C7">
        <f t="shared" ref="C7:I7" si="0">AVERAGE(C2:C6)</f>
        <v>0.69489651449134371</v>
      </c>
      <c r="D7">
        <f t="shared" si="0"/>
        <v>0.66792815371762737</v>
      </c>
      <c r="E7">
        <f t="shared" si="0"/>
        <v>0.72571428571428576</v>
      </c>
      <c r="F7">
        <f t="shared" si="0"/>
        <v>0.676056338028169</v>
      </c>
      <c r="G7">
        <f t="shared" si="0"/>
        <v>0.65929963278843873</v>
      </c>
      <c r="H7">
        <f t="shared" si="0"/>
        <v>0.68243907859870034</v>
      </c>
      <c r="I7">
        <f t="shared" si="0"/>
        <v>0.6399999999999999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35EC-F55F-4012-9AD2-0B01F79F51A4}">
  <sheetPr codeName="Sheet10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0.6901408450704225</v>
      </c>
      <c r="C2">
        <v>0.67647058823529416</v>
      </c>
      <c r="D2">
        <v>0.69696969696969702</v>
      </c>
      <c r="E2">
        <v>0.65714285714285714</v>
      </c>
      <c r="F2">
        <v>0.6901408450704225</v>
      </c>
      <c r="G2">
        <v>0.66666666666666663</v>
      </c>
      <c r="H2">
        <v>0.70967741935483875</v>
      </c>
      <c r="I2">
        <v>0.62857142857142856</v>
      </c>
    </row>
    <row r="3" spans="1:9" x14ac:dyDescent="0.3">
      <c r="A3">
        <v>1002</v>
      </c>
      <c r="B3">
        <v>0.74647887323943662</v>
      </c>
      <c r="C3">
        <v>0.75</v>
      </c>
      <c r="D3">
        <v>0.72972972972972971</v>
      </c>
      <c r="E3">
        <v>0.77142857142857146</v>
      </c>
      <c r="F3">
        <v>0.74647887323943662</v>
      </c>
      <c r="G3">
        <v>0.74285714285714288</v>
      </c>
      <c r="H3">
        <v>0.74285714285714288</v>
      </c>
      <c r="I3">
        <v>0.74285714285714288</v>
      </c>
    </row>
    <row r="4" spans="1:9" x14ac:dyDescent="0.3">
      <c r="A4">
        <v>1003</v>
      </c>
      <c r="B4">
        <v>0.71830985915492962</v>
      </c>
      <c r="C4">
        <v>0.72222222222222221</v>
      </c>
      <c r="D4">
        <v>0.70270270270270274</v>
      </c>
      <c r="E4">
        <v>0.74285714285714288</v>
      </c>
      <c r="F4">
        <v>0.71830985915492962</v>
      </c>
      <c r="G4">
        <v>0.69696969696969702</v>
      </c>
      <c r="H4">
        <v>0.74193548387096775</v>
      </c>
      <c r="I4">
        <v>0.65714285714285714</v>
      </c>
    </row>
    <row r="5" spans="1:9" x14ac:dyDescent="0.3">
      <c r="A5">
        <v>1004</v>
      </c>
      <c r="B5">
        <v>0.6619718309859155</v>
      </c>
      <c r="C5">
        <v>0.65714285714285714</v>
      </c>
      <c r="D5">
        <v>0.65714285714285714</v>
      </c>
      <c r="E5">
        <v>0.65714285714285714</v>
      </c>
      <c r="F5">
        <v>0.6901408450704225</v>
      </c>
      <c r="G5">
        <v>0.67647058823529416</v>
      </c>
      <c r="H5">
        <v>0.69696969696969702</v>
      </c>
      <c r="I5">
        <v>0.65714285714285714</v>
      </c>
    </row>
    <row r="6" spans="1:9" x14ac:dyDescent="0.3">
      <c r="A6">
        <v>1005</v>
      </c>
      <c r="B6">
        <v>0.74647887323943662</v>
      </c>
      <c r="C6">
        <v>0.75</v>
      </c>
      <c r="D6">
        <v>0.72972972972972971</v>
      </c>
      <c r="E6">
        <v>0.77142857142857146</v>
      </c>
      <c r="F6">
        <v>0.73239436619718312</v>
      </c>
      <c r="G6">
        <v>0.73239436619718312</v>
      </c>
      <c r="H6">
        <v>0.72222222222222221</v>
      </c>
      <c r="I6">
        <v>0.74285714285714288</v>
      </c>
    </row>
    <row r="7" spans="1:9" x14ac:dyDescent="0.3">
      <c r="B7">
        <f>AVERAGE(B2:B6)</f>
        <v>0.71267605633802811</v>
      </c>
      <c r="C7">
        <f t="shared" ref="C7:I7" si="0">AVERAGE(C2:C6)</f>
        <v>0.71116713352007466</v>
      </c>
      <c r="D7">
        <f t="shared" si="0"/>
        <v>0.7032549432549432</v>
      </c>
      <c r="E7">
        <f t="shared" si="0"/>
        <v>0.72</v>
      </c>
      <c r="F7">
        <f t="shared" si="0"/>
        <v>0.71549295774647881</v>
      </c>
      <c r="G7">
        <f t="shared" si="0"/>
        <v>0.70307169218519672</v>
      </c>
      <c r="H7">
        <f t="shared" si="0"/>
        <v>0.72273239305497372</v>
      </c>
      <c r="I7">
        <f t="shared" si="0"/>
        <v>0.68571428571428572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7F0D-B737-4CB6-8E2A-A236FFAD160D}">
  <sheetPr codeName="Sheet11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0.57746478873239437</v>
      </c>
      <c r="C2">
        <v>0.54545454545454541</v>
      </c>
      <c r="D2">
        <v>0.58064516129032262</v>
      </c>
      <c r="E2">
        <v>0.51428571428571423</v>
      </c>
      <c r="F2">
        <v>0.61971830985915488</v>
      </c>
      <c r="G2">
        <v>0.58461538461538465</v>
      </c>
      <c r="H2">
        <v>0.6333333333333333</v>
      </c>
      <c r="I2">
        <v>0.54285714285714282</v>
      </c>
    </row>
    <row r="3" spans="1:9" x14ac:dyDescent="0.3">
      <c r="A3">
        <v>1002</v>
      </c>
      <c r="B3">
        <v>0.60563380281690138</v>
      </c>
      <c r="C3">
        <v>0.6216216216216216</v>
      </c>
      <c r="D3">
        <v>0.58974358974358976</v>
      </c>
      <c r="E3">
        <v>0.65714285714285714</v>
      </c>
      <c r="F3">
        <v>0.53521126760563376</v>
      </c>
      <c r="G3">
        <v>0.5074626865671642</v>
      </c>
      <c r="H3">
        <v>0.53125</v>
      </c>
      <c r="I3">
        <v>0.48571428571428571</v>
      </c>
    </row>
    <row r="4" spans="1:9" x14ac:dyDescent="0.3">
      <c r="A4">
        <v>1003</v>
      </c>
      <c r="B4">
        <v>0.60563380281690138</v>
      </c>
      <c r="C4">
        <v>0.6</v>
      </c>
      <c r="D4">
        <v>0.6</v>
      </c>
      <c r="E4">
        <v>0.6</v>
      </c>
      <c r="F4">
        <v>0.60563380281690138</v>
      </c>
      <c r="G4">
        <v>0.5757575757575758</v>
      </c>
      <c r="H4">
        <v>0.61290322580645162</v>
      </c>
      <c r="I4">
        <v>0.54285714285714282</v>
      </c>
    </row>
    <row r="5" spans="1:9" x14ac:dyDescent="0.3">
      <c r="A5">
        <v>1004</v>
      </c>
      <c r="B5">
        <v>0.647887323943662</v>
      </c>
      <c r="C5">
        <v>0.65753424657534243</v>
      </c>
      <c r="D5">
        <v>0.63157894736842102</v>
      </c>
      <c r="E5">
        <v>0.68571428571428572</v>
      </c>
      <c r="F5">
        <v>0.63380281690140849</v>
      </c>
      <c r="G5">
        <v>0.62857142857142856</v>
      </c>
      <c r="H5">
        <v>0.62857142857142856</v>
      </c>
      <c r="I5">
        <v>0.62857142857142856</v>
      </c>
    </row>
    <row r="6" spans="1:9" x14ac:dyDescent="0.3">
      <c r="A6">
        <v>1005</v>
      </c>
      <c r="B6">
        <v>0.63380281690140849</v>
      </c>
      <c r="C6">
        <v>0.60606060606060608</v>
      </c>
      <c r="D6">
        <v>0.64516129032258063</v>
      </c>
      <c r="E6">
        <v>0.5714285714285714</v>
      </c>
      <c r="F6">
        <v>0.61971830985915488</v>
      </c>
      <c r="G6">
        <v>0.58461538461538465</v>
      </c>
      <c r="H6">
        <v>0.6333333333333333</v>
      </c>
      <c r="I6">
        <v>0.54285714285714282</v>
      </c>
    </row>
    <row r="7" spans="1:9" x14ac:dyDescent="0.3">
      <c r="B7">
        <f>AVERAGE(B2:B6)</f>
        <v>0.61408450704225348</v>
      </c>
      <c r="C7">
        <f t="shared" ref="C7:I7" si="0">AVERAGE(C2:C6)</f>
        <v>0.60613420394242312</v>
      </c>
      <c r="D7">
        <f t="shared" si="0"/>
        <v>0.60942579774498273</v>
      </c>
      <c r="E7">
        <f t="shared" si="0"/>
        <v>0.60571428571428565</v>
      </c>
      <c r="F7">
        <f t="shared" si="0"/>
        <v>0.60281690140845068</v>
      </c>
      <c r="G7">
        <f t="shared" si="0"/>
        <v>0.57620449202538759</v>
      </c>
      <c r="H7">
        <f t="shared" si="0"/>
        <v>0.60787826420890934</v>
      </c>
      <c r="I7">
        <f t="shared" si="0"/>
        <v>0.54857142857142849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80F5-F5E8-48F2-BA03-7F20878079BC}">
  <sheetPr codeName="Sheet12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0.6619718309859155</v>
      </c>
      <c r="C2">
        <v>0.67567567567567566</v>
      </c>
      <c r="D2">
        <v>0.64102564102564108</v>
      </c>
      <c r="E2">
        <v>0.7142857142857143</v>
      </c>
      <c r="F2">
        <v>0.6619718309859155</v>
      </c>
      <c r="G2">
        <v>0.66666666666666663</v>
      </c>
      <c r="H2">
        <v>0.64864864864864868</v>
      </c>
      <c r="I2">
        <v>0.68571428571428572</v>
      </c>
    </row>
    <row r="3" spans="1:9" x14ac:dyDescent="0.3">
      <c r="A3">
        <v>1002</v>
      </c>
      <c r="B3">
        <v>0.647887323943662</v>
      </c>
      <c r="C3">
        <v>0.67532467532467533</v>
      </c>
      <c r="D3">
        <v>0.61904761904761907</v>
      </c>
      <c r="E3">
        <v>0.74285714285714288</v>
      </c>
      <c r="F3">
        <v>0.676056338028169</v>
      </c>
      <c r="G3">
        <v>0.70129870129870131</v>
      </c>
      <c r="H3">
        <v>0.6428571428571429</v>
      </c>
      <c r="I3">
        <v>0.77142857142857146</v>
      </c>
    </row>
    <row r="4" spans="1:9" x14ac:dyDescent="0.3">
      <c r="A4">
        <v>1003</v>
      </c>
      <c r="B4">
        <v>0.647887323943662</v>
      </c>
      <c r="C4">
        <v>0.647887323943662</v>
      </c>
      <c r="D4">
        <v>0.63888888888888884</v>
      </c>
      <c r="E4">
        <v>0.65714285714285714</v>
      </c>
      <c r="F4">
        <v>0.63380281690140849</v>
      </c>
      <c r="G4">
        <v>0.62857142857142856</v>
      </c>
      <c r="H4">
        <v>0.62857142857142856</v>
      </c>
      <c r="I4">
        <v>0.62857142857142856</v>
      </c>
    </row>
    <row r="5" spans="1:9" x14ac:dyDescent="0.3">
      <c r="A5">
        <v>1004</v>
      </c>
      <c r="B5">
        <v>0.60563380281690138</v>
      </c>
      <c r="C5">
        <v>0.6</v>
      </c>
      <c r="D5">
        <v>0.6</v>
      </c>
      <c r="E5">
        <v>0.6</v>
      </c>
      <c r="F5">
        <v>0.647887323943662</v>
      </c>
      <c r="G5">
        <v>0.62686567164179108</v>
      </c>
      <c r="H5">
        <v>0.65625</v>
      </c>
      <c r="I5">
        <v>0.6</v>
      </c>
    </row>
    <row r="6" spans="1:9" x14ac:dyDescent="0.3">
      <c r="A6">
        <v>1005</v>
      </c>
      <c r="B6">
        <v>0.71830985915492962</v>
      </c>
      <c r="C6">
        <v>0.69696969696969702</v>
      </c>
      <c r="D6">
        <v>0.74193548387096775</v>
      </c>
      <c r="E6">
        <v>0.65714285714285714</v>
      </c>
      <c r="F6">
        <v>0.647887323943662</v>
      </c>
      <c r="G6">
        <v>0.61538461538461542</v>
      </c>
      <c r="H6">
        <v>0.66666666666666663</v>
      </c>
      <c r="I6">
        <v>0.5714285714285714</v>
      </c>
    </row>
    <row r="7" spans="1:9" x14ac:dyDescent="0.3">
      <c r="B7">
        <f>AVERAGE(B2:B6)</f>
        <v>0.6563380281690141</v>
      </c>
      <c r="C7">
        <f t="shared" ref="C7:I7" si="0">AVERAGE(C2:C6)</f>
        <v>0.65917147438274204</v>
      </c>
      <c r="D7">
        <f t="shared" si="0"/>
        <v>0.64817952656662337</v>
      </c>
      <c r="E7">
        <f t="shared" si="0"/>
        <v>0.67428571428571427</v>
      </c>
      <c r="F7">
        <f t="shared" si="0"/>
        <v>0.6535211267605634</v>
      </c>
      <c r="G7">
        <f t="shared" si="0"/>
        <v>0.64775741671264053</v>
      </c>
      <c r="H7">
        <f t="shared" si="0"/>
        <v>0.64859877734877736</v>
      </c>
      <c r="I7">
        <f t="shared" si="0"/>
        <v>0.65142857142857147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8B3B-712A-4E34-A428-EBD832651F40}">
  <sheetPr codeName="Sheet13"/>
  <dimension ref="B1:C13"/>
  <sheetViews>
    <sheetView tabSelected="1" workbookViewId="0">
      <selection activeCell="C12" sqref="C1:C12"/>
    </sheetView>
  </sheetViews>
  <sheetFormatPr defaultRowHeight="14" x14ac:dyDescent="0.3"/>
  <sheetData>
    <row r="1" spans="2:3" x14ac:dyDescent="0.3">
      <c r="B1">
        <f ca="1">INDIRECT("'" &amp; 1 &amp; "'!F7")</f>
        <v>0.6535211267605634</v>
      </c>
      <c r="C1">
        <f ca="1">INDIRECT("'"&amp; 1 &amp; "'!G7")</f>
        <v>0.64775741671264053</v>
      </c>
    </row>
    <row r="2" spans="2:3" x14ac:dyDescent="0.3">
      <c r="B2">
        <f ca="1">INDIRECT("'" &amp; 2 &amp; "'!F7")</f>
        <v>0.60281690140845068</v>
      </c>
      <c r="C2">
        <f ca="1">INDIRECT("'"&amp; 2 &amp; "'!G7")</f>
        <v>0.57620449202538759</v>
      </c>
    </row>
    <row r="3" spans="2:3" x14ac:dyDescent="0.3">
      <c r="B3">
        <f ca="1">INDIRECT("'" &amp; 3 &amp; "'!F7")</f>
        <v>0.647887323943662</v>
      </c>
      <c r="C3">
        <f ca="1">INDIRECT("'"&amp; 3 &amp; "'!G7")</f>
        <v>0.60828513591671485</v>
      </c>
    </row>
    <row r="4" spans="2:3" x14ac:dyDescent="0.3">
      <c r="B4">
        <f ca="1">INDIRECT("'" &amp; 4 &amp; "'!F7")</f>
        <v>0.71549295774647881</v>
      </c>
      <c r="C4">
        <f ca="1">INDIRECT("'"&amp; 4 &amp; "'!G7")</f>
        <v>0.70307169218519672</v>
      </c>
    </row>
    <row r="5" spans="2:3" x14ac:dyDescent="0.3">
      <c r="B5">
        <f ca="1">INDIRECT("'" &amp; 5 &amp; "'!F7")</f>
        <v>0.676056338028169</v>
      </c>
      <c r="C5">
        <f ca="1">INDIRECT("'"&amp; 5 &amp; "'!G7")</f>
        <v>0.65929963278843873</v>
      </c>
    </row>
    <row r="6" spans="2:3" x14ac:dyDescent="0.3">
      <c r="B6">
        <f ca="1">INDIRECT("'" &amp; 6 &amp; "'!F7")</f>
        <v>0.75774647887323943</v>
      </c>
      <c r="C6">
        <f ca="1">INDIRECT("'"&amp; 6 &amp; "'!G7")</f>
        <v>0.7461170713344627</v>
      </c>
    </row>
    <row r="7" spans="2:3" x14ac:dyDescent="0.3">
      <c r="B7">
        <f ca="1">INDIRECT("'" &amp; 7 &amp; "'!F7")</f>
        <v>0.74084507042253522</v>
      </c>
      <c r="C7">
        <f ca="1">INDIRECT("'"&amp; 7 &amp; "'!G7")</f>
        <v>0.70488745771532657</v>
      </c>
    </row>
    <row r="8" spans="2:3" x14ac:dyDescent="0.3">
      <c r="B8">
        <f ca="1">INDIRECT("'" &amp; 8 &amp; "'!F7")</f>
        <v>0.79154929577464794</v>
      </c>
      <c r="C8">
        <f ca="1">INDIRECT("'"&amp; 8 &amp; "'!G7")</f>
        <v>0.76741502225373193</v>
      </c>
    </row>
    <row r="9" spans="2:3" x14ac:dyDescent="0.3">
      <c r="B9">
        <f ca="1">INDIRECT("'" &amp; 9 &amp; "'!F7")</f>
        <v>0.76338028169014083</v>
      </c>
      <c r="C9">
        <f ca="1">INDIRECT("'"&amp; 9 &amp; "'!G7")</f>
        <v>0.74352457999516819</v>
      </c>
    </row>
    <row r="10" spans="2:3" x14ac:dyDescent="0.3">
      <c r="B10">
        <f ca="1">INDIRECT("'" &amp; 10 &amp; "'!F7")</f>
        <v>0.81126760563380285</v>
      </c>
      <c r="C10">
        <f ca="1">INDIRECT("'"&amp; 10 &amp; "'!G7")</f>
        <v>0.79711580086580081</v>
      </c>
    </row>
    <row r="11" spans="2:3" x14ac:dyDescent="0.3">
      <c r="B11">
        <f ca="1">INDIRECT("'" &amp; 11 &amp; "'!F7")</f>
        <v>0.78309859154929573</v>
      </c>
      <c r="C11">
        <f ca="1">INDIRECT("'"&amp; 11 &amp; "'!G7")</f>
        <v>0.77396971054098762</v>
      </c>
    </row>
    <row r="12" spans="2:3" x14ac:dyDescent="0.3">
      <c r="B12">
        <f ca="1">INDIRECT("'" &amp; 12 &amp; "'!F7")</f>
        <v>0.83943661971830985</v>
      </c>
      <c r="C12">
        <f ca="1">INDIRECT("'"&amp; 12 &amp; "'!G7")</f>
        <v>0.83579682499739738</v>
      </c>
    </row>
    <row r="13" spans="2:3" x14ac:dyDescent="0.3">
      <c r="B13">
        <v>2021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D2137-A0BB-4474-AC91-D044ED0E5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2025-10-26T14:23:25Z</dcterms:created>
  <dcterms:modified xsi:type="dcterms:W3CDTF">2025-11-01T13:32:58Z</dcterms:modified>
</cp:coreProperties>
</file>