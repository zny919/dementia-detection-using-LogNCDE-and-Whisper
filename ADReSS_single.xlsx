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2020\single(n0(1))\"/>
    </mc:Choice>
  </mc:AlternateContent>
  <xr:revisionPtr revIDLastSave="0" documentId="13_ncr:1_{6B5CAA48-3611-40DD-962C-6ADBC3F8EE59}" xr6:coauthVersionLast="47" xr6:coauthVersionMax="47" xr10:uidLastSave="{00000000-0000-0000-0000-000000000000}"/>
  <bookViews>
    <workbookView xWindow="1820" yWindow="1820" windowWidth="19200" windowHeight="11710" firstSheet="11" activeTab="12" xr2:uid="{539D1A71-C5FA-4C6D-97D9-F1FB8DF0389E}"/>
  </bookViews>
  <sheets>
    <sheet name="11" sheetId="12" r:id="rId1"/>
    <sheet name="10" sheetId="11" r:id="rId2"/>
    <sheet name="8" sheetId="10" r:id="rId3"/>
    <sheet name="7" sheetId="9" r:id="rId4"/>
    <sheet name="6" sheetId="8" r:id="rId5"/>
    <sheet name="5" sheetId="7" r:id="rId6"/>
    <sheet name="4" sheetId="5" r:id="rId7"/>
    <sheet name="9" sheetId="17" r:id="rId8"/>
    <sheet name="3" sheetId="16" r:id="rId9"/>
    <sheet name="2" sheetId="3" r:id="rId10"/>
    <sheet name="12" sheetId="18" r:id="rId11"/>
    <sheet name="1" sheetId="19" r:id="rId12"/>
    <sheet name="Sheet1" sheetId="1" r:id="rId13"/>
  </sheets>
  <definedNames>
    <definedName name="ExternalData_1" localSheetId="11" hidden="1">'1'!$A$1:$I$6</definedName>
    <definedName name="ExternalData_1" localSheetId="10" hidden="1">'12'!$A$1:$I$6</definedName>
    <definedName name="ExternalData_10" localSheetId="0" hidden="1">'11'!$A$1:$I$6</definedName>
    <definedName name="ExternalData_2" localSheetId="9" hidden="1">'2'!$A$1:$I$6</definedName>
    <definedName name="ExternalData_3" localSheetId="8" hidden="1">'3'!$A$1:$I$6</definedName>
    <definedName name="ExternalData_4" localSheetId="6" hidden="1">'4'!$A$1:$I$6</definedName>
    <definedName name="ExternalData_4" localSheetId="7" hidden="1">'9'!$A$1:$I$6</definedName>
    <definedName name="ExternalData_5" localSheetId="5" hidden="1">'5'!$A$1:$I$6</definedName>
    <definedName name="ExternalData_6" localSheetId="4" hidden="1">'6'!$A$1:$I$6</definedName>
    <definedName name="ExternalData_7" localSheetId="3" hidden="1">'7'!$A$1:$I$6</definedName>
    <definedName name="ExternalData_8" localSheetId="2" hidden="1">'8'!$A$1:$I$6</definedName>
    <definedName name="ExternalData_9" localSheetId="1" hidden="1">'10'!$A$1:$I$6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7" i="19" l="1"/>
  <c r="D7" i="19"/>
  <c r="E7" i="19"/>
  <c r="F7" i="19"/>
  <c r="G7" i="19"/>
  <c r="H7" i="19"/>
  <c r="I7" i="19"/>
  <c r="B7" i="19"/>
  <c r="C7" i="18"/>
  <c r="D7" i="18"/>
  <c r="E7" i="18"/>
  <c r="F7" i="18"/>
  <c r="G7" i="18"/>
  <c r="H7" i="18"/>
  <c r="I7" i="18"/>
  <c r="B7" i="18"/>
  <c r="C7" i="16" l="1"/>
  <c r="D7" i="16"/>
  <c r="E7" i="16"/>
  <c r="F7" i="16"/>
  <c r="G7" i="16"/>
  <c r="H7" i="16"/>
  <c r="I7" i="16"/>
  <c r="C7" i="17"/>
  <c r="D7" i="17"/>
  <c r="E7" i="17"/>
  <c r="F7" i="17"/>
  <c r="G7" i="17"/>
  <c r="H7" i="17"/>
  <c r="I7" i="17"/>
  <c r="B7" i="16"/>
  <c r="B7" i="17"/>
  <c r="C7" i="12"/>
  <c r="D7" i="12"/>
  <c r="E7" i="12"/>
  <c r="F7" i="12"/>
  <c r="G7" i="12"/>
  <c r="H7" i="12"/>
  <c r="I7" i="12"/>
  <c r="C7" i="11"/>
  <c r="D7" i="11"/>
  <c r="E7" i="11"/>
  <c r="F7" i="11"/>
  <c r="G7" i="11"/>
  <c r="H7" i="11"/>
  <c r="I7" i="11"/>
  <c r="C7" i="10"/>
  <c r="D7" i="10"/>
  <c r="E7" i="10"/>
  <c r="F7" i="10"/>
  <c r="G7" i="10"/>
  <c r="H7" i="10"/>
  <c r="I7" i="10"/>
  <c r="C7" i="9"/>
  <c r="D7" i="9"/>
  <c r="E7" i="9"/>
  <c r="F7" i="9"/>
  <c r="G7" i="9"/>
  <c r="H7" i="9"/>
  <c r="I7" i="9"/>
  <c r="C7" i="8"/>
  <c r="D7" i="8"/>
  <c r="E7" i="8"/>
  <c r="F7" i="8"/>
  <c r="G7" i="8"/>
  <c r="H7" i="8"/>
  <c r="I7" i="8"/>
  <c r="C7" i="7"/>
  <c r="D7" i="7"/>
  <c r="E7" i="7"/>
  <c r="F7" i="7"/>
  <c r="G7" i="7"/>
  <c r="H7" i="7"/>
  <c r="I7" i="7"/>
  <c r="C7" i="5"/>
  <c r="D7" i="5"/>
  <c r="E7" i="5"/>
  <c r="F7" i="5"/>
  <c r="G7" i="5"/>
  <c r="H7" i="5"/>
  <c r="I7" i="5"/>
  <c r="C7" i="3"/>
  <c r="D7" i="3"/>
  <c r="E7" i="3"/>
  <c r="F7" i="3"/>
  <c r="G7" i="3"/>
  <c r="H7" i="3"/>
  <c r="I7" i="3"/>
  <c r="B7" i="12"/>
  <c r="B7" i="11"/>
  <c r="B7" i="10"/>
  <c r="B7" i="9"/>
  <c r="B7" i="8"/>
  <c r="B7" i="7"/>
  <c r="B7" i="5"/>
  <c r="B7" i="3"/>
  <c r="C11" i="1"/>
  <c r="C10" i="1"/>
  <c r="C9" i="1"/>
  <c r="C8" i="1"/>
  <c r="C7" i="1"/>
  <c r="C6" i="1"/>
  <c r="C5" i="1"/>
  <c r="C4" i="1"/>
  <c r="C3" i="1"/>
  <c r="C2" i="1"/>
  <c r="C1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485B08-86C7-4398-B14E-805E734C2087}" keepAlive="1" name="查询 - whisepr_single5_log_predict_auto(no)_(1)_" description="与工作簿中“whisepr_single5_log_predict_auto(no)_(1)_”查询的连接。" type="5" refreshedVersion="0" background="1">
    <dbPr connection="Provider=Microsoft.Mashup.OleDb.1;Data Source=$Workbook$;Location=whisepr_single5_log_predict_auto(no)_(1)_;Extended Properties=&quot;&quot;" command="SELECT * FROM [whisepr_single5_log_predict_auto(no)_(1)_]"/>
  </connection>
  <connection id="2" xr16:uid="{A36EA1BB-49B3-46E0-B4E0-5834664203D9}" keepAlive="1" name="查询 - whisper_log_last1_auto(no)_(1)" description="与工作簿中“whisper_log_last1_auto(no)_(1)”查询的连接。" type="5" refreshedVersion="8" background="1" saveData="1">
    <dbPr connection="Provider=Microsoft.Mashup.OleDb.1;Data Source=$Workbook$;Location=whisper_log_last1_auto(no)_(1);Extended Properties=&quot;&quot;" command="SELECT * FROM [whisper_log_last1_auto(no)_(1)]"/>
  </connection>
  <connection id="3" xr16:uid="{039D3C5B-E154-4CDA-9052-20D12840A5BA}" keepAlive="1" name="查询 - whisper_single1_log_auto(no)_ (2)" description="与工作簿中“whisper_single1_log_auto(no)_ (2)”查询的连接。" type="5" refreshedVersion="8" background="1" saveData="1">
    <dbPr connection="Provider=Microsoft.Mashup.OleDb.1;Data Source=$Workbook$;Location=&quot;whisper_single1_log_auto(no)_ (2)&quot;;Extended Properties=&quot;&quot;" command="SELECT * FROM [whisper_single1_log_auto(no)_ (2)]"/>
  </connection>
  <connection id="4" xr16:uid="{7CA43A81-2C6C-4765-8501-267D4DD6FCA4}" keepAlive="1" name="查询 - whisper_single1_log_auto(no)_(1)" description="与工作簿中“whisper_single1_log_auto(no)_(1)”查询的连接。" type="5" refreshedVersion="0" background="1">
    <dbPr connection="Provider=Microsoft.Mashup.OleDb.1;Data Source=$Workbook$;Location=whisper_single1_log_auto(no)_(1);Extended Properties=&quot;&quot;" command="SELECT * FROM [whisper_single1_log_auto(no)_(1)]"/>
  </connection>
  <connection id="5" xr16:uid="{6A3E33CB-1702-4E73-B458-2780619A464B}" keepAlive="1" name="查询 - whisper_single10_log_auto(no)_(1)" description="与工作簿中“whisper_single10_log_auto(no)_(1)”查询的连接。" type="5" refreshedVersion="8" background="1" saveData="1">
    <dbPr connection="Provider=Microsoft.Mashup.OleDb.1;Data Source=$Workbook$;Location=whisper_single10_log_auto(no)_(1);Extended Properties=&quot;&quot;" command="SELECT * FROM [whisper_single10_log_auto(no)_(1)]"/>
  </connection>
  <connection id="6" xr16:uid="{E9532BE5-0E6F-415B-BFF9-4CA99BFE7864}" keepAlive="1" name="查询 - whisper_single11_log_auto(no)_(1)" description="与工作簿中“whisper_single11_log_auto(no)_(1)”查询的连接。" type="5" refreshedVersion="8" background="1" saveData="1">
    <dbPr connection="Provider=Microsoft.Mashup.OleDb.1;Data Source=$Workbook$;Location=whisper_single11_log_auto(no)_(1);Extended Properties=&quot;&quot;" command="SELECT * FROM [whisper_single11_log_auto(no)_(1)]"/>
  </connection>
  <connection id="7" xr16:uid="{BBA388C8-0E81-4E32-A1EB-3BE892CE3C25}" keepAlive="1" name="查询 - whisper_single12_log_auto(no)_(1)" description="与工作簿中“whisper_single12_log_auto(no)_(1)”查询的连接。" type="5" refreshedVersion="0" background="1">
    <dbPr connection="Provider=Microsoft.Mashup.OleDb.1;Data Source=$Workbook$;Location=whisper_single12_log_auto(no)_(1);Extended Properties=&quot;&quot;" command="SELECT * FROM [whisper_single12_log_auto(no)_(1)]"/>
  </connection>
  <connection id="8" xr16:uid="{2363AE53-627A-4534-B5E5-ED5B511215C9}" keepAlive="1" name="查询 - whisper_single2_log_auto(no)_(1)" description="与工作簿中“whisper_single2_log_auto(no)_(1)”查询的连接。" type="5" refreshedVersion="8" background="1" saveData="1">
    <dbPr connection="Provider=Microsoft.Mashup.OleDb.1;Data Source=$Workbook$;Location=whisper_single2_log_auto(no)_(1);Extended Properties=&quot;&quot;" command="SELECT * FROM [whisper_single2_log_auto(no)_(1)]"/>
  </connection>
  <connection id="9" xr16:uid="{5A57648C-A04C-4B2C-9E35-57C931FB3375}" keepAlive="1" name="查询 - whisper_single3_log_auto(no)_ (2)" description="与工作簿中“whisper_single3_log_auto(no)_ (2)”查询的连接。" type="5" refreshedVersion="0" background="1">
    <dbPr connection="Provider=Microsoft.Mashup.OleDb.1;Data Source=$Workbook$;Location=&quot;whisper_single3_log_auto(no)_ (2)&quot;;Extended Properties=&quot;&quot;" command="SELECT * FROM [whisper_single3_log_auto(no)_ (2)]"/>
  </connection>
  <connection id="10" xr16:uid="{6A038537-6314-4245-9CD1-2B66C1A3F83F}" keepAlive="1" name="查询 - whisper_single3_log_auto(no)_ (3)" description="与工作簿中“whisper_single3_log_auto(no)_ (3)”查询的连接。" type="5" refreshedVersion="8" background="1" saveData="1">
    <dbPr connection="Provider=Microsoft.Mashup.OleDb.1;Data Source=$Workbook$;Location=&quot;whisper_single3_log_auto(no)_ (3)&quot;;Extended Properties=&quot;&quot;" command="SELECT * FROM [whisper_single3_log_auto(no)_ (3)]"/>
  </connection>
  <connection id="11" xr16:uid="{980ACA8B-F954-4FFE-9FB8-CCBA382006B0}" keepAlive="1" name="查询 - whisper_single3_log_auto(no)_(1)" description="与工作簿中“whisper_single3_log_auto(no)_(1)”查询的连接。" type="5" refreshedVersion="0" background="1">
    <dbPr connection="Provider=Microsoft.Mashup.OleDb.1;Data Source=$Workbook$;Location=whisper_single3_log_auto(no)_(1);Extended Properties=&quot;&quot;" command="SELECT * FROM [whisper_single3_log_auto(no)_(1)]"/>
  </connection>
  <connection id="12" xr16:uid="{27EEFD6F-8266-4C2A-A703-C0009F12D840}" keepAlive="1" name="查询 - whisper_single4_log_auto(no)_(1)" description="与工作簿中“whisper_single4_log_auto(no)_(1)”查询的连接。" type="5" refreshedVersion="8" background="1" saveData="1">
    <dbPr connection="Provider=Microsoft.Mashup.OleDb.1;Data Source=$Workbook$;Location=whisper_single4_log_auto(no)_(1);Extended Properties=&quot;&quot;" command="SELECT * FROM [whisper_single4_log_auto(no)_(1)]"/>
  </connection>
  <connection id="13" xr16:uid="{C47BA216-AF2E-4EE0-94AA-E210D7ECE678}" keepAlive="1" name="查询 - whisper_single5_log_auto(no)_(1)" description="与工作簿中“whisper_single5_log_auto(no)_(1)”查询的连接。" type="5" refreshedVersion="8" background="1" saveData="1">
    <dbPr connection="Provider=Microsoft.Mashup.OleDb.1;Data Source=$Workbook$;Location=whisper_single5_log_auto(no)_(1);Extended Properties=&quot;&quot;" command="SELECT * FROM [whisper_single5_log_auto(no)_(1)]"/>
  </connection>
  <connection id="14" xr16:uid="{A7978816-E620-4845-8FC4-50D6A1332511}" keepAlive="1" name="查询 - whisper_single6_log_auto(no)_(1)" description="与工作簿中“whisper_single6_log_auto(no)_(1)”查询的连接。" type="5" refreshedVersion="8" background="1" saveData="1">
    <dbPr connection="Provider=Microsoft.Mashup.OleDb.1;Data Source=$Workbook$;Location=whisper_single6_log_auto(no)_(1);Extended Properties=&quot;&quot;" command="SELECT * FROM [whisper_single6_log_auto(no)_(1)]"/>
  </connection>
  <connection id="15" xr16:uid="{92E89C98-3F09-41E5-AA66-37EDD6D7706A}" keepAlive="1" name="查询 - whisper_single7_log_auto(no)_(1)" description="与工作簿中“whisper_single7_log_auto(no)_(1)”查询的连接。" type="5" refreshedVersion="8" background="1" saveData="1">
    <dbPr connection="Provider=Microsoft.Mashup.OleDb.1;Data Source=$Workbook$;Location=whisper_single7_log_auto(no)_(1);Extended Properties=&quot;&quot;" command="SELECT * FROM [whisper_single7_log_auto(no)_(1)]"/>
  </connection>
  <connection id="16" xr16:uid="{8D6537B2-BD76-48F4-8173-795F76235641}" keepAlive="1" name="查询 - whisper_single8_log_auto(no)_(1)" description="与工作簿中“whisper_single8_log_auto(no)_(1)”查询的连接。" type="5" refreshedVersion="8" background="1" saveData="1">
    <dbPr connection="Provider=Microsoft.Mashup.OleDb.1;Data Source=$Workbook$;Location=whisper_single8_log_auto(no)_(1);Extended Properties=&quot;&quot;" command="SELECT * FROM [whisper_single8_log_auto(no)_(1)]"/>
  </connection>
  <connection id="17" xr16:uid="{FD5683B0-8D3A-489B-98E4-864B181DA3ED}" keepAlive="1" name="查询 - whisper_single9_log_auto(no)_ (2)" description="与工作簿中“whisper_single9_log_auto(no)_ (2)”查询的连接。" type="5" refreshedVersion="8" background="1" saveData="1">
    <dbPr connection="Provider=Microsoft.Mashup.OleDb.1;Data Source=$Workbook$;Location=&quot;whisper_single9_log_auto(no)_ (2)&quot;;Extended Properties=&quot;&quot;" command="SELECT * FROM [whisper_single9_log_auto(no)_ (2)]"/>
  </connection>
  <connection id="18" xr16:uid="{20C5DD19-472D-4594-A03F-9BDBF2A02282}" keepAlive="1" name="查询 - whisper_single9_log_auto(no)_(1)" description="与工作簿中“whisper_single9_log_auto(no)_(1)”查询的连接。" type="5" refreshedVersion="0" background="1">
    <dbPr connection="Provider=Microsoft.Mashup.OleDb.1;Data Source=$Workbook$;Location=whisper_single9_log_auto(no)_(1);Extended Properties=&quot;&quot;" command="SELECT * FROM [whisper_single9_log_auto(no)_(1)]"/>
  </connection>
</connections>
</file>

<file path=xl/sharedStrings.xml><?xml version="1.0" encoding="utf-8"?>
<sst xmlns="http://schemas.openxmlformats.org/spreadsheetml/2006/main" count="108" uniqueCount="9">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</sst>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0.625</c:v>
                </c:pt>
                <c:pt idx="1">
                  <c:v>0.73333333333333328</c:v>
                </c:pt>
                <c:pt idx="2">
                  <c:v>0.70416666666666661</c:v>
                </c:pt>
                <c:pt idx="3">
                  <c:v>0.67500000000000004</c:v>
                </c:pt>
                <c:pt idx="4">
                  <c:v>0.65833333333333333</c:v>
                </c:pt>
                <c:pt idx="5">
                  <c:v>0.76666666666666672</c:v>
                </c:pt>
                <c:pt idx="6">
                  <c:v>0.72916666666666663</c:v>
                </c:pt>
                <c:pt idx="7">
                  <c:v>0.79166666666666663</c:v>
                </c:pt>
                <c:pt idx="8">
                  <c:v>0.73750000000000004</c:v>
                </c:pt>
                <c:pt idx="9">
                  <c:v>0.75416666666666665</c:v>
                </c:pt>
                <c:pt idx="10">
                  <c:v>0.85833333333333339</c:v>
                </c:pt>
                <c:pt idx="11">
                  <c:v>0.86250000000000004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6-4324-8A6E-11EA2240D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7318112"/>
        <c:axId val="1777318592"/>
      </c:lineChart>
      <c:catAx>
        <c:axId val="177731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7318592"/>
        <c:crosses val="autoZero"/>
        <c:auto val="1"/>
        <c:lblAlgn val="ctr"/>
        <c:lblOffset val="100"/>
        <c:noMultiLvlLbl val="0"/>
      </c:catAx>
      <c:valAx>
        <c:axId val="177731859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731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111125</xdr:colOff>
      <xdr:row>6</xdr:row>
      <xdr:rowOff>60325</xdr:rowOff>
    </xdr:from>
    <xdr:to>
      <xdr:col>12</xdr:col>
      <xdr:colOff>60325</xdr:colOff>
      <xdr:row>21</xdr:row>
      <xdr:rowOff>136525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8D3606-77BE-1345-A108-D34E651F3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6" xr16:uid="{C636DB0D-7EF4-476A-97BB-25789CAE11D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D1B3AD64-5D38-47BF-8E39-6ADD9424CB0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6" xr16:uid="{085BBB81-7F73-405A-A1AA-CAB860C8C0F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5" xr16:uid="{79E15787-DAEA-45D5-8131-F2C11B65EE7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4" xr16:uid="{BE757FCC-09F2-43EF-AD03-3695F970C46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3" xr16:uid="{89641827-9454-4A6C-89E9-5DB20473645B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86F1126C-FD75-4AF8-82D8-A30282079C34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872A1AE9-3D28-494F-AE02-6BC58BAEB5F0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55F2117D-B7A8-4D8F-9E0A-21FDC7E0B85E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3EF5D23-DA26-4374-A827-B767ACEF8B1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1322E7-A72E-4C05-B67A-713F5BB820D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8E10AEE-26D9-42A7-9EFB-707D99738EB6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D7D7F2-1C0A-4DDA-A5A3-D8C84FF93EB5}" name="whisper_single11_log_auto_no___1" displayName="whisper_single11_log_auto_no___1" ref="A1:I6" tableType="queryTable" totalsRowShown="0">
  <autoFilter ref="A1:I6" xr:uid="{48D7D7F2-1C0A-4DDA-A5A3-D8C84FF93EB5}"/>
  <tableColumns count="9">
    <tableColumn id="1" xr3:uid="{5AA3E723-160F-4F44-B114-22B29ADAE412}" uniqueName="1" name="seed" queryTableFieldId="1"/>
    <tableColumn id="2" xr3:uid="{DC42A384-9249-4AEA-8535-14E4B8023B0A}" uniqueName="2" name="acc_test" queryTableFieldId="2"/>
    <tableColumn id="3" xr3:uid="{1F0F4C2E-B21C-4540-B46C-56A4B07455DE}" uniqueName="3" name="f1" queryTableFieldId="3"/>
    <tableColumn id="4" xr3:uid="{14A20321-9B6F-4F7F-A736-9E00B25761CF}" uniqueName="4" name="precision" queryTableFieldId="4"/>
    <tableColumn id="5" xr3:uid="{CDCCC503-8EF0-40CD-9C1C-DF7A499D7407}" uniqueName="5" name="recall" queryTableFieldId="5"/>
    <tableColumn id="6" xr3:uid="{32CA2587-B4D3-4F1A-997F-5F96E738F8F9}" uniqueName="6" name="acc_test_vote" queryTableFieldId="6"/>
    <tableColumn id="7" xr3:uid="{A38D4B91-F99F-40F7-AE22-8C04B8B1888C}" uniqueName="7" name="f1_vote" queryTableFieldId="7"/>
    <tableColumn id="8" xr3:uid="{DEBC2C23-C35A-450C-BCFA-1CC1F5CA5D5B}" uniqueName="8" name="precision_vote" queryTableFieldId="8"/>
    <tableColumn id="9" xr3:uid="{74BC6E02-C10A-4079-AD68-030A9101E031}" uniqueName="9" name="recall_vo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A575AEB-E8B6-4648-B1E0-66973654A648}" name="whisper_single10_log_auto_no___1" displayName="whisper_single10_log_auto_no___1" ref="A1:I6" tableType="queryTable" totalsRowShown="0">
  <autoFilter ref="A1:I6" xr:uid="{9A575AEB-E8B6-4648-B1E0-66973654A648}"/>
  <tableColumns count="9">
    <tableColumn id="1" xr3:uid="{A05ABBDE-6FB7-4BB0-B68E-15C4A5D9C8F9}" uniqueName="1" name="seed" queryTableFieldId="1"/>
    <tableColumn id="2" xr3:uid="{6DEBBDDB-6135-4B4D-B16D-7F9BBB536CB5}" uniqueName="2" name="acc_test" queryTableFieldId="2"/>
    <tableColumn id="3" xr3:uid="{FDF28AF0-393E-496A-B6C1-C504C7C736E5}" uniqueName="3" name="f1" queryTableFieldId="3"/>
    <tableColumn id="4" xr3:uid="{0948178C-8D66-4771-87AB-771AAE91E671}" uniqueName="4" name="precision" queryTableFieldId="4"/>
    <tableColumn id="5" xr3:uid="{30F19A4F-502A-4EBC-B558-56E63FAB469F}" uniqueName="5" name="recall" queryTableFieldId="5"/>
    <tableColumn id="6" xr3:uid="{4094332F-457A-4F43-AFF1-88FB65594949}" uniqueName="6" name="acc_test_vote" queryTableFieldId="6"/>
    <tableColumn id="7" xr3:uid="{0D747393-D655-449B-B50D-457673F3CC47}" uniqueName="7" name="f1_vote" queryTableFieldId="7"/>
    <tableColumn id="8" xr3:uid="{C44F56CD-DAFD-4A1E-96DB-75BECEDFECD0}" uniqueName="8" name="precision_vote" queryTableFieldId="8"/>
    <tableColumn id="9" xr3:uid="{CC3FC87D-1E9E-40F5-8A04-7A5FBEF8D524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F4E01C-E23E-4232-9F0C-745A38F343D7}" name="whisper_single8_log_auto_no___1" displayName="whisper_single8_log_auto_no___1" ref="A1:I6" tableType="queryTable" totalsRowShown="0">
  <autoFilter ref="A1:I6" xr:uid="{E9F4E01C-E23E-4232-9F0C-745A38F343D7}"/>
  <tableColumns count="9">
    <tableColumn id="1" xr3:uid="{4BCCD3D0-FCB5-46C5-A88F-490FE918F075}" uniqueName="1" name="seed" queryTableFieldId="1"/>
    <tableColumn id="2" xr3:uid="{CB44250E-4C32-4F50-9D96-9564BB08FA09}" uniqueName="2" name="acc_test" queryTableFieldId="2"/>
    <tableColumn id="3" xr3:uid="{85B166C6-BD5D-4C96-BB1B-7DA2D67E5921}" uniqueName="3" name="f1" queryTableFieldId="3"/>
    <tableColumn id="4" xr3:uid="{1E59C193-3D69-4E20-8DFA-859D4492F366}" uniqueName="4" name="precision" queryTableFieldId="4"/>
    <tableColumn id="5" xr3:uid="{8BD91481-5C6E-48DD-B0FC-190749A4ECEF}" uniqueName="5" name="recall" queryTableFieldId="5"/>
    <tableColumn id="6" xr3:uid="{41C27E38-0F36-4DC6-B832-FBBF90D72CAA}" uniqueName="6" name="acc_test_vote" queryTableFieldId="6"/>
    <tableColumn id="7" xr3:uid="{C3B4854B-11D5-4E4A-A8DA-62806CE57A3C}" uniqueName="7" name="f1_vote" queryTableFieldId="7"/>
    <tableColumn id="8" xr3:uid="{7C388889-A582-4853-B745-9C12F4CEF8D5}" uniqueName="8" name="precision_vote" queryTableFieldId="8"/>
    <tableColumn id="9" xr3:uid="{F76B724D-03FB-489C-9DE3-9B2EB3664155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26D014-A446-4191-BE06-76CCDF748D23}" name="whisper_single7_log_auto_no___1" displayName="whisper_single7_log_auto_no___1" ref="A1:I6" tableType="queryTable" totalsRowShown="0">
  <autoFilter ref="A1:I6" xr:uid="{2D26D014-A446-4191-BE06-76CCDF748D23}"/>
  <tableColumns count="9">
    <tableColumn id="1" xr3:uid="{9011ED6D-190A-4DF4-B53D-9CCDF5378562}" uniqueName="1" name="seed" queryTableFieldId="1"/>
    <tableColumn id="2" xr3:uid="{EE7C6BD7-DD07-49F2-9BDE-210B6BF8C507}" uniqueName="2" name="acc_test" queryTableFieldId="2"/>
    <tableColumn id="3" xr3:uid="{D9DEF394-06B6-4792-B7B0-F5EB6FC6DB28}" uniqueName="3" name="f1" queryTableFieldId="3"/>
    <tableColumn id="4" xr3:uid="{F13EB745-5031-4837-9CA7-92F894110678}" uniqueName="4" name="precision" queryTableFieldId="4"/>
    <tableColumn id="5" xr3:uid="{A649C790-AEE8-46A8-808D-592C6851736D}" uniqueName="5" name="recall" queryTableFieldId="5"/>
    <tableColumn id="6" xr3:uid="{9D936118-763C-4050-901E-7AB869E81193}" uniqueName="6" name="acc_test_vote" queryTableFieldId="6"/>
    <tableColumn id="7" xr3:uid="{9550D1AB-AEDA-4D1E-919A-FD70E0A3C349}" uniqueName="7" name="f1_vote" queryTableFieldId="7"/>
    <tableColumn id="8" xr3:uid="{902A17CE-8613-4A7B-A416-BB100F163696}" uniqueName="8" name="precision_vote" queryTableFieldId="8"/>
    <tableColumn id="9" xr3:uid="{BFB8FA93-093F-4435-A838-69F36F035A82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52701C-F7CE-4118-9A3F-62CD35631197}" name="whisper_single6_log_auto_no___1" displayName="whisper_single6_log_auto_no___1" ref="A1:I6" tableType="queryTable" totalsRowShown="0">
  <autoFilter ref="A1:I6" xr:uid="{B252701C-F7CE-4118-9A3F-62CD35631197}"/>
  <tableColumns count="9">
    <tableColumn id="1" xr3:uid="{D91959D0-B9DE-434C-B7E1-796B86EA63A1}" uniqueName="1" name="seed" queryTableFieldId="1"/>
    <tableColumn id="2" xr3:uid="{E001C72A-4099-45F2-BAB7-403A63299DE4}" uniqueName="2" name="acc_test" queryTableFieldId="2"/>
    <tableColumn id="3" xr3:uid="{B01A9E8A-5784-472B-9099-BB32CC8BA034}" uniqueName="3" name="f1" queryTableFieldId="3"/>
    <tableColumn id="4" xr3:uid="{EC62B31B-6993-43A6-8554-895ED6D4482D}" uniqueName="4" name="precision" queryTableFieldId="4"/>
    <tableColumn id="5" xr3:uid="{FE0993B3-AE88-4E85-9417-56C7BD8C6C11}" uniqueName="5" name="recall" queryTableFieldId="5"/>
    <tableColumn id="6" xr3:uid="{1317D83E-A5F3-4497-9B6C-E8AC41BE1171}" uniqueName="6" name="acc_test_vote" queryTableFieldId="6"/>
    <tableColumn id="7" xr3:uid="{F39E791D-523D-4386-9C4C-B838E5DDCE2B}" uniqueName="7" name="f1_vote" queryTableFieldId="7"/>
    <tableColumn id="8" xr3:uid="{64FD01B3-CAE3-4DD6-AE70-213FB99247ED}" uniqueName="8" name="precision_vote" queryTableFieldId="8"/>
    <tableColumn id="9" xr3:uid="{EFC55E53-9CFC-4310-A5BF-5E143A1CAA4A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0C7FAD-8ACB-417D-8F86-611ECD11B248}" name="whisper_single5_log_auto_no___1" displayName="whisper_single5_log_auto_no___1" ref="A1:I6" tableType="queryTable" totalsRowShown="0">
  <autoFilter ref="A1:I6" xr:uid="{B40C7FAD-8ACB-417D-8F86-611ECD11B248}"/>
  <tableColumns count="9">
    <tableColumn id="1" xr3:uid="{229678C6-F6E3-4508-8E33-2099CDF9EE79}" uniqueName="1" name="seed" queryTableFieldId="1"/>
    <tableColumn id="2" xr3:uid="{82458DFE-9144-48C8-89DA-8F4FBED20581}" uniqueName="2" name="acc_test" queryTableFieldId="2"/>
    <tableColumn id="3" xr3:uid="{5FA8A342-C546-4A3F-97E8-F87E713126A4}" uniqueName="3" name="f1" queryTableFieldId="3"/>
    <tableColumn id="4" xr3:uid="{0D5CAEC1-5E5D-4D63-894B-AF43DA8FA87F}" uniqueName="4" name="precision" queryTableFieldId="4"/>
    <tableColumn id="5" xr3:uid="{2BBF810B-4E77-4AAC-A09E-9ACD56BA2AC3}" uniqueName="5" name="recall" queryTableFieldId="5"/>
    <tableColumn id="6" xr3:uid="{6A27645C-76F9-4A44-9CAB-1474B418B11E}" uniqueName="6" name="acc_test_vote" queryTableFieldId="6"/>
    <tableColumn id="7" xr3:uid="{1E806B18-D049-45D3-B9C8-CD2BB7E1D1DA}" uniqueName="7" name="f1_vote" queryTableFieldId="7"/>
    <tableColumn id="8" xr3:uid="{7DD0EDC2-FE09-4DD1-B870-5EE9F6B04E7E}" uniqueName="8" name="precision_vote" queryTableFieldId="8"/>
    <tableColumn id="9" xr3:uid="{D22F3E79-CFAA-4B2E-93D5-C96D051990D7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ADAD6A-3B84-438E-A4D2-41F34531A10A}" name="whisper_single4_log_auto_no___1" displayName="whisper_single4_log_auto_no___1" ref="A1:I6" tableType="queryTable" totalsRowShown="0">
  <autoFilter ref="A1:I6" xr:uid="{04ADAD6A-3B84-438E-A4D2-41F34531A10A}"/>
  <tableColumns count="9">
    <tableColumn id="1" xr3:uid="{2DFE32E9-9AC4-44F7-A8B9-07EE768A7780}" uniqueName="1" name="seed" queryTableFieldId="1"/>
    <tableColumn id="2" xr3:uid="{14202E68-38C1-4A4D-A4F7-68890E19643B}" uniqueName="2" name="acc_test" queryTableFieldId="2"/>
    <tableColumn id="3" xr3:uid="{F9B55D56-FB85-4092-92C5-5EB17AD3B745}" uniqueName="3" name="f1" queryTableFieldId="3"/>
    <tableColumn id="4" xr3:uid="{292D682F-3348-4B61-8892-E9B84B191031}" uniqueName="4" name="precision" queryTableFieldId="4"/>
    <tableColumn id="5" xr3:uid="{E88C0E4B-1EAA-45C4-B59A-F7EA88E69481}" uniqueName="5" name="recall" queryTableFieldId="5"/>
    <tableColumn id="6" xr3:uid="{288EC7DC-0E59-4326-A6F1-EC2DB48B4E07}" uniqueName="6" name="acc_test_vote" queryTableFieldId="6"/>
    <tableColumn id="7" xr3:uid="{45F7663E-221A-46E8-9004-E57D50469F22}" uniqueName="7" name="f1_vote" queryTableFieldId="7"/>
    <tableColumn id="8" xr3:uid="{8BFD7004-2B58-4920-876F-E349B829F2AB}" uniqueName="8" name="precision_vote" queryTableFieldId="8"/>
    <tableColumn id="9" xr3:uid="{46F73AA9-4AE4-402C-B94B-A8AE913B1E62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5391CB7-039F-40D4-8A0E-53EDABDF02FE}" name="whisper_single9_log_auto_no____2" displayName="whisper_single9_log_auto_no____2" ref="A1:I6" tableType="queryTable" totalsRowShown="0">
  <autoFilter ref="A1:I6" xr:uid="{D5391CB7-039F-40D4-8A0E-53EDABDF02FE}"/>
  <tableColumns count="9">
    <tableColumn id="1" xr3:uid="{049D5B11-BAAA-41B3-B112-D8EB4A02C7CF}" uniqueName="1" name="seed" queryTableFieldId="1"/>
    <tableColumn id="2" xr3:uid="{846B5F82-C6E1-4BF7-B4B7-3D9598D3224E}" uniqueName="2" name="acc_test" queryTableFieldId="2"/>
    <tableColumn id="3" xr3:uid="{0C84ED26-B5EB-4241-981E-335F2C6C4D67}" uniqueName="3" name="f1" queryTableFieldId="3"/>
    <tableColumn id="4" xr3:uid="{26D795D0-BDC2-4455-AB6C-B5E7BABE3EB9}" uniqueName="4" name="precision" queryTableFieldId="4"/>
    <tableColumn id="5" xr3:uid="{BC2B95E7-3F8F-4058-9160-20A1F538AC02}" uniqueName="5" name="recall" queryTableFieldId="5"/>
    <tableColumn id="6" xr3:uid="{8322E30E-2F89-4EB9-A392-2E0D958AB5CB}" uniqueName="6" name="acc_test_vote" queryTableFieldId="6"/>
    <tableColumn id="7" xr3:uid="{63295C94-45DA-492B-B08B-21288AADCE65}" uniqueName="7" name="f1_vote" queryTableFieldId="7"/>
    <tableColumn id="8" xr3:uid="{8B92B121-5D8B-492B-9E86-6F3D2E27DF32}" uniqueName="8" name="precision_vote" queryTableFieldId="8"/>
    <tableColumn id="9" xr3:uid="{FF5A8194-5058-401E-851B-2EA031E6954A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69A10E1-848F-4C6F-A1EA-C7ABC7F65100}" name="whisper_single3_log_auto_no____3" displayName="whisper_single3_log_auto_no____3" ref="A1:I6" tableType="queryTable" totalsRowShown="0">
  <autoFilter ref="A1:I6" xr:uid="{769A10E1-848F-4C6F-A1EA-C7ABC7F65100}"/>
  <tableColumns count="9">
    <tableColumn id="1" xr3:uid="{72D39091-21E0-42E3-B442-5455D26D3F77}" uniqueName="1" name="seed" queryTableFieldId="1"/>
    <tableColumn id="2" xr3:uid="{66716DDF-85AD-42FC-BC43-254369D22D00}" uniqueName="2" name="acc_test" queryTableFieldId="2"/>
    <tableColumn id="3" xr3:uid="{042C3498-0A92-4AA1-B1E8-CE6A67C58503}" uniqueName="3" name="f1" queryTableFieldId="3"/>
    <tableColumn id="4" xr3:uid="{8DB9E9E0-C075-41F8-8C85-9FC871141818}" uniqueName="4" name="precision" queryTableFieldId="4"/>
    <tableColumn id="5" xr3:uid="{9B0AC8B6-4A69-4864-97B1-4758A153D99B}" uniqueName="5" name="recall" queryTableFieldId="5"/>
    <tableColumn id="6" xr3:uid="{F927D94A-FBB1-414B-ADBE-6454D70361D8}" uniqueName="6" name="acc_test_vote" queryTableFieldId="6"/>
    <tableColumn id="7" xr3:uid="{0F6B96BD-72DF-442C-B0FB-D6F6BD6C6837}" uniqueName="7" name="f1_vote" queryTableFieldId="7"/>
    <tableColumn id="8" xr3:uid="{E9866D01-1883-41CE-92D0-E178714BD6A5}" uniqueName="8" name="precision_vote" queryTableFieldId="8"/>
    <tableColumn id="9" xr3:uid="{5E25616C-2D7B-4BE7-9233-AB5347A6288E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7664C6-8492-4A5D-8BDD-DF731E819E19}" name="whisper_single2_log_auto_no___1" displayName="whisper_single2_log_auto_no___1" ref="A1:I6" tableType="queryTable" totalsRowShown="0">
  <autoFilter ref="A1:I6" xr:uid="{CD7664C6-8492-4A5D-8BDD-DF731E819E19}"/>
  <tableColumns count="9">
    <tableColumn id="1" xr3:uid="{75DF5F02-ACB1-42DD-A0B1-865FD1EE9210}" uniqueName="1" name="seed" queryTableFieldId="1"/>
    <tableColumn id="2" xr3:uid="{395C8254-8CF9-476D-9D4F-CA6CBA428286}" uniqueName="2" name="acc_test" queryTableFieldId="2"/>
    <tableColumn id="3" xr3:uid="{751F2946-58F8-460F-A774-98FA4DC6C00B}" uniqueName="3" name="f1" queryTableFieldId="3"/>
    <tableColumn id="4" xr3:uid="{D4707DB2-8960-434F-B0E8-2A83E209F6AE}" uniqueName="4" name="precision" queryTableFieldId="4"/>
    <tableColumn id="5" xr3:uid="{B27D248D-9D00-46B4-9907-93FA3CC8E297}" uniqueName="5" name="recall" queryTableFieldId="5"/>
    <tableColumn id="6" xr3:uid="{C020BBFE-DFA9-42B7-95EB-852FC4FBFD59}" uniqueName="6" name="acc_test_vote" queryTableFieldId="6"/>
    <tableColumn id="7" xr3:uid="{D1D5ED54-EEF6-4EBA-9ED7-E2C629F24B6F}" uniqueName="7" name="f1_vote" queryTableFieldId="7"/>
    <tableColumn id="8" xr3:uid="{EB5B763D-1484-4B58-885B-3A91328B2F3D}" uniqueName="8" name="precision_vote" queryTableFieldId="8"/>
    <tableColumn id="9" xr3:uid="{26F78503-F9EB-4A1A-8637-858F1BAD6DDC}" uniqueName="9" name="recall_vot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2707C2D-2DAF-487A-A271-6A71A36F7DE6}" name="whisper_log_last1_auto_no___1" displayName="whisper_log_last1_auto_no___1" ref="A1:I7" tableType="queryTable" totalsRowCount="1">
  <autoFilter ref="A1:I6" xr:uid="{42707C2D-2DAF-487A-A271-6A71A36F7DE6}"/>
  <tableColumns count="9">
    <tableColumn id="1" xr3:uid="{65DD471A-D7C7-4B66-8C73-F24C5543408D}" uniqueName="1" name="seed" queryTableFieldId="1"/>
    <tableColumn id="2" xr3:uid="{641C2CFC-517B-472A-A69E-64654287F1C1}" uniqueName="2" name="acc_test" totalsRowFunction="average" queryTableFieldId="2"/>
    <tableColumn id="3" xr3:uid="{ADC72F33-FEE3-418D-93A4-1748D31CB315}" uniqueName="3" name="f1" totalsRowFunction="average" queryTableFieldId="3"/>
    <tableColumn id="4" xr3:uid="{FEEC477B-70AC-4521-B737-212A39E71C7B}" uniqueName="4" name="precision" totalsRowFunction="average" queryTableFieldId="4"/>
    <tableColumn id="5" xr3:uid="{0D11C57C-9EB7-43C2-9A08-F10A2EE1833B}" uniqueName="5" name="recall" totalsRowFunction="average" queryTableFieldId="5"/>
    <tableColumn id="6" xr3:uid="{8A23CA04-53EB-48B2-8AD3-DFC047A2A1D0}" uniqueName="6" name="acc_test_vote" totalsRowFunction="average" queryTableFieldId="6"/>
    <tableColumn id="7" xr3:uid="{40F49E13-BBF0-4FA4-B6C6-468BFEDCBC69}" uniqueName="7" name="f1_vote" totalsRowFunction="average" queryTableFieldId="7"/>
    <tableColumn id="8" xr3:uid="{2024791B-575C-40D9-9040-0B78D333E6C5}" uniqueName="8" name="precision_vote" totalsRowFunction="average" queryTableFieldId="8"/>
    <tableColumn id="9" xr3:uid="{7F150953-6434-43C0-987A-BE0680DAE0A6}" uniqueName="9" name="recall_vote" totalsRowFunction="averag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AF675A-F815-4536-8F74-CF76F2CD9D97}" name="whisper_single1_log_auto_no____2" displayName="whisper_single1_log_auto_no____2" ref="A1:I7" tableType="queryTable" totalsRowCount="1">
  <autoFilter ref="A1:I6" xr:uid="{23AF675A-F815-4536-8F74-CF76F2CD9D97}"/>
  <tableColumns count="9">
    <tableColumn id="1" xr3:uid="{7547CEEE-8E21-4B13-B37C-0F3079F73752}" uniqueName="1" name="seed" queryTableFieldId="1"/>
    <tableColumn id="2" xr3:uid="{972F8301-1CCB-4BBC-99E2-A505ADC9FF48}" uniqueName="2" name="acc_test" totalsRowFunction="average" queryTableFieldId="2"/>
    <tableColumn id="3" xr3:uid="{1EA37C58-1268-4915-AAF5-F8B362C67D68}" uniqueName="3" name="f1" totalsRowFunction="average" queryTableFieldId="3"/>
    <tableColumn id="4" xr3:uid="{C595A128-10F4-446F-95E2-94BF10A9E54D}" uniqueName="4" name="precision" totalsRowFunction="average" queryTableFieldId="4"/>
    <tableColumn id="5" xr3:uid="{79064B06-9D1E-4DF4-877C-18C3B77757A6}" uniqueName="5" name="recall" totalsRowFunction="average" queryTableFieldId="5"/>
    <tableColumn id="6" xr3:uid="{E086AF0E-701E-46D7-A3AE-BA35E15A265D}" uniqueName="6" name="acc_test_vote" totalsRowFunction="average" queryTableFieldId="6"/>
    <tableColumn id="7" xr3:uid="{47F8B3A8-EE2B-400E-BA4F-036726D39B96}" uniqueName="7" name="f1_vote" totalsRowFunction="average" queryTableFieldId="7"/>
    <tableColumn id="8" xr3:uid="{C6ED1B06-DFA9-445B-BEC0-6BC76B472377}" uniqueName="8" name="precision_vote" totalsRowFunction="average" queryTableFieldId="8"/>
    <tableColumn id="9" xr3:uid="{FE977C53-4149-4CDC-838A-1772E1D5530B}" uniqueName="9" name="recall_vote" totalsRowFunction="averag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113F-7AB8-4812-B4FF-BF01F4BC1EA9}">
  <sheetPr codeName="Sheet1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0.79166666666666663</v>
      </c>
      <c r="C2">
        <v>0.80769230769230771</v>
      </c>
      <c r="D2">
        <v>0.75</v>
      </c>
      <c r="E2">
        <v>0.875</v>
      </c>
      <c r="F2">
        <v>0.85416666666666663</v>
      </c>
      <c r="G2">
        <v>0.8571428571428571</v>
      </c>
      <c r="H2">
        <v>0.84</v>
      </c>
      <c r="I2">
        <v>0.875</v>
      </c>
    </row>
    <row r="3" spans="1:9" x14ac:dyDescent="0.3">
      <c r="A3">
        <v>1002</v>
      </c>
      <c r="B3">
        <v>0.83333333333333337</v>
      </c>
      <c r="C3">
        <v>0.84</v>
      </c>
      <c r="D3">
        <v>0.80769230769230771</v>
      </c>
      <c r="E3">
        <v>0.875</v>
      </c>
      <c r="F3">
        <v>0.875</v>
      </c>
      <c r="G3">
        <v>0.875</v>
      </c>
      <c r="H3">
        <v>0.875</v>
      </c>
      <c r="I3">
        <v>0.875</v>
      </c>
    </row>
    <row r="4" spans="1:9" x14ac:dyDescent="0.3">
      <c r="A4">
        <v>1003</v>
      </c>
      <c r="B4">
        <v>0.8125</v>
      </c>
      <c r="C4">
        <v>0.82352941176470584</v>
      </c>
      <c r="D4">
        <v>0.77777777777777779</v>
      </c>
      <c r="E4">
        <v>0.875</v>
      </c>
      <c r="F4">
        <v>0.83333333333333337</v>
      </c>
      <c r="G4">
        <v>0.83333333333333337</v>
      </c>
      <c r="H4">
        <v>0.83333333333333337</v>
      </c>
      <c r="I4">
        <v>0.83333333333333337</v>
      </c>
    </row>
    <row r="5" spans="1:9" x14ac:dyDescent="0.3">
      <c r="A5">
        <v>1004</v>
      </c>
      <c r="B5">
        <v>0.79166666666666663</v>
      </c>
      <c r="C5">
        <v>0.81481481481481477</v>
      </c>
      <c r="D5">
        <v>0.73333333333333328</v>
      </c>
      <c r="E5">
        <v>0.91666666666666663</v>
      </c>
      <c r="F5">
        <v>0.875</v>
      </c>
      <c r="G5">
        <v>0.875</v>
      </c>
      <c r="H5">
        <v>0.875</v>
      </c>
      <c r="I5">
        <v>0.875</v>
      </c>
    </row>
    <row r="6" spans="1:9" x14ac:dyDescent="0.3">
      <c r="A6">
        <v>1005</v>
      </c>
      <c r="B6">
        <v>0.83333333333333337</v>
      </c>
      <c r="C6">
        <v>0.84</v>
      </c>
      <c r="D6">
        <v>0.80769230769230771</v>
      </c>
      <c r="E6">
        <v>0.875</v>
      </c>
      <c r="F6">
        <v>0.85416666666666663</v>
      </c>
      <c r="G6">
        <v>0.8571428571428571</v>
      </c>
      <c r="H6">
        <v>0.84</v>
      </c>
      <c r="I6">
        <v>0.875</v>
      </c>
    </row>
    <row r="7" spans="1:9" x14ac:dyDescent="0.3">
      <c r="B7">
        <f>AVERAGE(B2:B6)</f>
        <v>0.8125</v>
      </c>
      <c r="C7">
        <f t="shared" ref="C7:I7" si="0">AVERAGE(C2:C6)</f>
        <v>0.82520730685436572</v>
      </c>
      <c r="D7">
        <f t="shared" si="0"/>
        <v>0.77529914529914534</v>
      </c>
      <c r="E7">
        <f t="shared" si="0"/>
        <v>0.88333333333333319</v>
      </c>
      <c r="F7">
        <f t="shared" si="0"/>
        <v>0.85833333333333339</v>
      </c>
      <c r="G7">
        <f t="shared" si="0"/>
        <v>0.85952380952380947</v>
      </c>
      <c r="H7">
        <f t="shared" si="0"/>
        <v>0.85266666666666668</v>
      </c>
      <c r="I7">
        <f t="shared" si="0"/>
        <v>0.86666666666666681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0B77-A22A-43A5-93D0-4917E663F24E}">
  <sheetPr codeName="Sheet2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0.70833333333333337</v>
      </c>
      <c r="C2">
        <v>0.72</v>
      </c>
      <c r="D2">
        <v>0.69230769230769229</v>
      </c>
      <c r="E2">
        <v>0.75</v>
      </c>
      <c r="F2">
        <v>0.77083333333333337</v>
      </c>
      <c r="G2">
        <v>0.7441860465116279</v>
      </c>
      <c r="H2">
        <v>0.84210526315789469</v>
      </c>
      <c r="I2">
        <v>0.66666666666666663</v>
      </c>
    </row>
    <row r="3" spans="1:9" x14ac:dyDescent="0.3">
      <c r="A3">
        <v>1002</v>
      </c>
      <c r="B3">
        <v>0.72916666666666663</v>
      </c>
      <c r="C3">
        <v>0.74509803921568629</v>
      </c>
      <c r="D3">
        <v>0.70370370370370372</v>
      </c>
      <c r="E3">
        <v>0.79166666666666663</v>
      </c>
      <c r="F3">
        <v>0.77083333333333337</v>
      </c>
      <c r="G3">
        <v>0.7441860465116279</v>
      </c>
      <c r="H3">
        <v>0.84210526315789469</v>
      </c>
      <c r="I3">
        <v>0.66666666666666663</v>
      </c>
    </row>
    <row r="4" spans="1:9" x14ac:dyDescent="0.3">
      <c r="A4">
        <v>1003</v>
      </c>
      <c r="B4">
        <v>0.6875</v>
      </c>
      <c r="C4">
        <v>0.70588235294117652</v>
      </c>
      <c r="D4">
        <v>0.66666666666666663</v>
      </c>
      <c r="E4">
        <v>0.75</v>
      </c>
      <c r="F4">
        <v>0.72916666666666663</v>
      </c>
      <c r="G4">
        <v>0.71111111111111114</v>
      </c>
      <c r="H4">
        <v>0.76190476190476186</v>
      </c>
      <c r="I4">
        <v>0.66666666666666663</v>
      </c>
    </row>
    <row r="5" spans="1:9" x14ac:dyDescent="0.3">
      <c r="A5">
        <v>1004</v>
      </c>
      <c r="B5">
        <v>0.6875</v>
      </c>
      <c r="C5">
        <v>0.70588235294117652</v>
      </c>
      <c r="D5">
        <v>0.66666666666666663</v>
      </c>
      <c r="E5">
        <v>0.75</v>
      </c>
      <c r="F5">
        <v>0.77083333333333337</v>
      </c>
      <c r="G5">
        <v>0.76595744680851063</v>
      </c>
      <c r="H5">
        <v>0.78260869565217395</v>
      </c>
      <c r="I5">
        <v>0.75</v>
      </c>
    </row>
    <row r="6" spans="1:9" x14ac:dyDescent="0.3">
      <c r="A6">
        <v>1005</v>
      </c>
      <c r="B6">
        <v>0.6875</v>
      </c>
      <c r="C6">
        <v>0.69387755102040816</v>
      </c>
      <c r="D6">
        <v>0.68</v>
      </c>
      <c r="E6">
        <v>0.70833333333333337</v>
      </c>
      <c r="F6">
        <v>0.72916666666666663</v>
      </c>
      <c r="G6">
        <v>0.71111111111111114</v>
      </c>
      <c r="H6">
        <v>0.76190476190476186</v>
      </c>
      <c r="I6">
        <v>0.66666666666666663</v>
      </c>
    </row>
    <row r="7" spans="1:9" x14ac:dyDescent="0.3">
      <c r="B7">
        <f>AVERAGE(B2:B6)</f>
        <v>0.7</v>
      </c>
      <c r="C7">
        <f t="shared" ref="C7:I7" si="0">AVERAGE(C2:C6)</f>
        <v>0.71414805922368951</v>
      </c>
      <c r="D7">
        <f t="shared" si="0"/>
        <v>0.68186894586894586</v>
      </c>
      <c r="E7">
        <f t="shared" si="0"/>
        <v>0.75</v>
      </c>
      <c r="F7">
        <f t="shared" si="0"/>
        <v>0.75416666666666665</v>
      </c>
      <c r="G7">
        <f t="shared" si="0"/>
        <v>0.73531035241079779</v>
      </c>
      <c r="H7">
        <f t="shared" si="0"/>
        <v>0.79812574915549739</v>
      </c>
      <c r="I7">
        <f t="shared" si="0"/>
        <v>0.68333333333333335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EFD9-0BC0-4176-9ECE-565DED5DD03C}">
  <sheetPr codeName="Sheet3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0.75</v>
      </c>
      <c r="C2">
        <v>0.75</v>
      </c>
      <c r="D2">
        <v>0.75</v>
      </c>
      <c r="E2">
        <v>0.75</v>
      </c>
      <c r="F2">
        <v>0.75</v>
      </c>
      <c r="G2">
        <v>0.73913043478260865</v>
      </c>
      <c r="H2">
        <v>0.77272727272727271</v>
      </c>
      <c r="I2">
        <v>0.70833333333333337</v>
      </c>
    </row>
    <row r="3" spans="1:9" x14ac:dyDescent="0.3">
      <c r="A3">
        <v>1002</v>
      </c>
      <c r="B3">
        <v>0.79166666666666663</v>
      </c>
      <c r="C3">
        <v>0.8</v>
      </c>
      <c r="D3">
        <v>0.76923076923076927</v>
      </c>
      <c r="E3">
        <v>0.83333333333333337</v>
      </c>
      <c r="F3">
        <v>0.8125</v>
      </c>
      <c r="G3">
        <v>0.80851063829787229</v>
      </c>
      <c r="H3">
        <v>0.82608695652173914</v>
      </c>
      <c r="I3">
        <v>0.79166666666666663</v>
      </c>
    </row>
    <row r="4" spans="1:9" x14ac:dyDescent="0.3">
      <c r="A4">
        <v>1003</v>
      </c>
      <c r="B4">
        <v>0.8125</v>
      </c>
      <c r="C4">
        <v>0.81632653061224492</v>
      </c>
      <c r="D4">
        <v>0.8</v>
      </c>
      <c r="E4">
        <v>0.83333333333333337</v>
      </c>
      <c r="F4">
        <v>0.79166666666666663</v>
      </c>
      <c r="G4">
        <v>0.79166666666666663</v>
      </c>
      <c r="H4">
        <v>0.79166666666666663</v>
      </c>
      <c r="I4">
        <v>0.79166666666666663</v>
      </c>
    </row>
    <row r="5" spans="1:9" x14ac:dyDescent="0.3">
      <c r="A5">
        <v>1004</v>
      </c>
      <c r="B5">
        <v>0.79166666666666663</v>
      </c>
      <c r="C5">
        <v>0.8</v>
      </c>
      <c r="D5">
        <v>0.76923076923076927</v>
      </c>
      <c r="E5">
        <v>0.83333333333333337</v>
      </c>
      <c r="F5">
        <v>0.8125</v>
      </c>
      <c r="G5">
        <v>0.80851063829787229</v>
      </c>
      <c r="H5">
        <v>0.82608695652173914</v>
      </c>
      <c r="I5">
        <v>0.79166666666666663</v>
      </c>
    </row>
    <row r="6" spans="1:9" x14ac:dyDescent="0.3">
      <c r="A6">
        <v>1005</v>
      </c>
      <c r="B6">
        <v>0.77083333333333337</v>
      </c>
      <c r="C6">
        <v>0.78431372549019607</v>
      </c>
      <c r="D6">
        <v>0.7407407407407407</v>
      </c>
      <c r="E6">
        <v>0.83333333333333337</v>
      </c>
      <c r="F6">
        <v>0.79166666666666663</v>
      </c>
      <c r="G6">
        <v>0.79166666666666663</v>
      </c>
      <c r="H6">
        <v>0.79166666666666663</v>
      </c>
      <c r="I6">
        <v>0.79166666666666663</v>
      </c>
    </row>
    <row r="7" spans="1:9" x14ac:dyDescent="0.3">
      <c r="B7">
        <f>AVERAGE(B2:B6)</f>
        <v>0.78333333333333333</v>
      </c>
      <c r="C7">
        <f t="shared" ref="C7:I7" si="0">AVERAGE(C2:C6)</f>
        <v>0.79012805122048813</v>
      </c>
      <c r="D7">
        <f t="shared" si="0"/>
        <v>0.76584045584045568</v>
      </c>
      <c r="E7">
        <f t="shared" si="0"/>
        <v>0.81666666666666676</v>
      </c>
      <c r="F7">
        <f t="shared" si="0"/>
        <v>0.79166666666666663</v>
      </c>
      <c r="G7">
        <f t="shared" si="0"/>
        <v>0.78789700894233727</v>
      </c>
      <c r="H7">
        <f t="shared" si="0"/>
        <v>0.80164690382081683</v>
      </c>
      <c r="I7">
        <f t="shared" si="0"/>
        <v>0.77499999999999991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4CDA-C614-4D39-8283-938CD169AEFE}">
  <sheetPr codeName="Sheet4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0.6875</v>
      </c>
      <c r="C2">
        <v>0.70588235294117652</v>
      </c>
      <c r="D2">
        <v>0.66666666666666663</v>
      </c>
      <c r="E2">
        <v>0.75</v>
      </c>
      <c r="F2">
        <v>0.72916666666666663</v>
      </c>
      <c r="G2">
        <v>0.72340425531914898</v>
      </c>
      <c r="H2">
        <v>0.73913043478260865</v>
      </c>
      <c r="I2">
        <v>0.70833333333333337</v>
      </c>
    </row>
    <row r="3" spans="1:9" x14ac:dyDescent="0.3">
      <c r="A3">
        <v>1002</v>
      </c>
      <c r="B3">
        <v>0.70833333333333337</v>
      </c>
      <c r="C3">
        <v>0.73076923076923073</v>
      </c>
      <c r="D3">
        <v>0.6785714285714286</v>
      </c>
      <c r="E3">
        <v>0.79166666666666663</v>
      </c>
      <c r="F3">
        <v>0.72916666666666663</v>
      </c>
      <c r="G3">
        <v>0.73469387755102045</v>
      </c>
      <c r="H3">
        <v>0.72</v>
      </c>
      <c r="I3">
        <v>0.75</v>
      </c>
    </row>
    <row r="4" spans="1:9" x14ac:dyDescent="0.3">
      <c r="A4">
        <v>1003</v>
      </c>
      <c r="B4">
        <v>0.75</v>
      </c>
      <c r="C4">
        <v>0.76923076923076927</v>
      </c>
      <c r="D4">
        <v>0.7142857142857143</v>
      </c>
      <c r="E4">
        <v>0.83333333333333337</v>
      </c>
      <c r="F4">
        <v>0.75</v>
      </c>
      <c r="G4">
        <v>0.76</v>
      </c>
      <c r="H4">
        <v>0.73076923076923073</v>
      </c>
      <c r="I4">
        <v>0.79166666666666663</v>
      </c>
    </row>
    <row r="5" spans="1:9" x14ac:dyDescent="0.3">
      <c r="A5">
        <v>1004</v>
      </c>
      <c r="B5">
        <v>0.6875</v>
      </c>
      <c r="C5">
        <v>0.70588235294117652</v>
      </c>
      <c r="D5">
        <v>0.66666666666666663</v>
      </c>
      <c r="E5">
        <v>0.75</v>
      </c>
      <c r="F5">
        <v>0.6875</v>
      </c>
      <c r="G5">
        <v>0.69387755102040816</v>
      </c>
      <c r="H5">
        <v>0.68</v>
      </c>
      <c r="I5">
        <v>0.70833333333333337</v>
      </c>
    </row>
    <row r="6" spans="1:9" x14ac:dyDescent="0.3">
      <c r="A6">
        <v>1005</v>
      </c>
      <c r="B6">
        <v>0.72916666666666663</v>
      </c>
      <c r="C6">
        <v>0.72340425531914898</v>
      </c>
      <c r="D6">
        <v>0.73913043478260865</v>
      </c>
      <c r="E6">
        <v>0.70833333333333337</v>
      </c>
      <c r="F6">
        <v>0.75</v>
      </c>
      <c r="G6">
        <v>0.73913043478260865</v>
      </c>
      <c r="H6">
        <v>0.77272727272727271</v>
      </c>
      <c r="I6">
        <v>0.70833333333333337</v>
      </c>
    </row>
    <row r="7" spans="1:9" x14ac:dyDescent="0.3">
      <c r="B7">
        <f>AVERAGE(B2:B6)</f>
        <v>0.71250000000000002</v>
      </c>
      <c r="C7">
        <f t="shared" ref="C7:I7" si="0">AVERAGE(C2:C6)</f>
        <v>0.7270337922403004</v>
      </c>
      <c r="D7">
        <f t="shared" si="0"/>
        <v>0.69306418219461696</v>
      </c>
      <c r="E7">
        <f t="shared" si="0"/>
        <v>0.76666666666666672</v>
      </c>
      <c r="F7">
        <f t="shared" si="0"/>
        <v>0.72916666666666663</v>
      </c>
      <c r="G7">
        <f t="shared" si="0"/>
        <v>0.73022122373463727</v>
      </c>
      <c r="H7">
        <f t="shared" si="0"/>
        <v>0.72852538765582242</v>
      </c>
      <c r="I7">
        <f t="shared" si="0"/>
        <v>0.73333333333333339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0F427-DFA8-4002-B01F-A2420139B876}">
  <sheetPr codeName="Sheet5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0.75</v>
      </c>
      <c r="C2">
        <v>0.76923076923076927</v>
      </c>
      <c r="D2">
        <v>0.7142857142857143</v>
      </c>
      <c r="E2">
        <v>0.83333333333333337</v>
      </c>
      <c r="F2">
        <v>0.8125</v>
      </c>
      <c r="G2">
        <v>0.82352941176470584</v>
      </c>
      <c r="H2">
        <v>0.77777777777777779</v>
      </c>
      <c r="I2">
        <v>0.875</v>
      </c>
    </row>
    <row r="3" spans="1:9" x14ac:dyDescent="0.3">
      <c r="A3">
        <v>1002</v>
      </c>
      <c r="B3">
        <v>0.6875</v>
      </c>
      <c r="C3">
        <v>0.73684210526315785</v>
      </c>
      <c r="D3">
        <v>0.63636363636363635</v>
      </c>
      <c r="E3">
        <v>0.875</v>
      </c>
      <c r="F3">
        <v>0.75</v>
      </c>
      <c r="G3">
        <v>0.77777777777777779</v>
      </c>
      <c r="H3">
        <v>0.7</v>
      </c>
      <c r="I3">
        <v>0.875</v>
      </c>
    </row>
    <row r="4" spans="1:9" x14ac:dyDescent="0.3">
      <c r="A4">
        <v>1003</v>
      </c>
      <c r="B4">
        <v>0.72916666666666663</v>
      </c>
      <c r="C4">
        <v>0.76363636363636367</v>
      </c>
      <c r="D4">
        <v>0.67741935483870963</v>
      </c>
      <c r="E4">
        <v>0.875</v>
      </c>
      <c r="F4">
        <v>0.79166666666666663</v>
      </c>
      <c r="G4">
        <v>0.80769230769230771</v>
      </c>
      <c r="H4">
        <v>0.75</v>
      </c>
      <c r="I4">
        <v>0.875</v>
      </c>
    </row>
    <row r="5" spans="1:9" x14ac:dyDescent="0.3">
      <c r="A5">
        <v>1004</v>
      </c>
      <c r="B5">
        <v>0.6875</v>
      </c>
      <c r="C5">
        <v>0.71698113207547165</v>
      </c>
      <c r="D5">
        <v>0.65517241379310343</v>
      </c>
      <c r="E5">
        <v>0.79166666666666663</v>
      </c>
      <c r="F5">
        <v>0.70833333333333337</v>
      </c>
      <c r="G5">
        <v>0.72</v>
      </c>
      <c r="H5">
        <v>0.69230769230769229</v>
      </c>
      <c r="I5">
        <v>0.75</v>
      </c>
    </row>
    <row r="6" spans="1:9" x14ac:dyDescent="0.3">
      <c r="A6">
        <v>1005</v>
      </c>
      <c r="B6">
        <v>0.77083333333333337</v>
      </c>
      <c r="C6">
        <v>0.78431372549019607</v>
      </c>
      <c r="D6">
        <v>0.7407407407407407</v>
      </c>
      <c r="E6">
        <v>0.83333333333333337</v>
      </c>
      <c r="F6">
        <v>0.77083333333333337</v>
      </c>
      <c r="G6">
        <v>0.77551020408163263</v>
      </c>
      <c r="H6">
        <v>0.76</v>
      </c>
      <c r="I6">
        <v>0.79166666666666663</v>
      </c>
    </row>
    <row r="7" spans="1:9" x14ac:dyDescent="0.3">
      <c r="B7">
        <f>AVERAGE(B2:B6)</f>
        <v>0.72499999999999998</v>
      </c>
      <c r="C7">
        <f t="shared" ref="C7:I7" si="0">AVERAGE(C2:C6)</f>
        <v>0.75420081913919168</v>
      </c>
      <c r="D7">
        <f t="shared" si="0"/>
        <v>0.68479637200438082</v>
      </c>
      <c r="E7">
        <f t="shared" si="0"/>
        <v>0.84166666666666656</v>
      </c>
      <c r="F7">
        <f t="shared" si="0"/>
        <v>0.76666666666666672</v>
      </c>
      <c r="G7">
        <f t="shared" si="0"/>
        <v>0.78090194026328485</v>
      </c>
      <c r="H7">
        <f t="shared" si="0"/>
        <v>0.73601709401709403</v>
      </c>
      <c r="I7">
        <f t="shared" si="0"/>
        <v>0.83333333333333337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4047-B87E-447A-BEC9-0581EB2F79B1}">
  <sheetPr codeName="Sheet6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0.66666666666666663</v>
      </c>
      <c r="C2">
        <v>0.7142857142857143</v>
      </c>
      <c r="D2">
        <v>0.625</v>
      </c>
      <c r="E2">
        <v>0.83333333333333337</v>
      </c>
      <c r="F2">
        <v>0.64583333333333337</v>
      </c>
      <c r="G2">
        <v>0.66666666666666663</v>
      </c>
      <c r="H2">
        <v>0.62962962962962965</v>
      </c>
      <c r="I2">
        <v>0.70833333333333337</v>
      </c>
    </row>
    <row r="3" spans="1:9" x14ac:dyDescent="0.3">
      <c r="A3">
        <v>1002</v>
      </c>
      <c r="B3">
        <v>0.64583333333333337</v>
      </c>
      <c r="C3">
        <v>0.69090909090909092</v>
      </c>
      <c r="D3">
        <v>0.61290322580645162</v>
      </c>
      <c r="E3">
        <v>0.79166666666666663</v>
      </c>
      <c r="F3">
        <v>0.66666666666666663</v>
      </c>
      <c r="G3">
        <v>0.69230769230769229</v>
      </c>
      <c r="H3">
        <v>0.6428571428571429</v>
      </c>
      <c r="I3">
        <v>0.75</v>
      </c>
    </row>
    <row r="4" spans="1:9" x14ac:dyDescent="0.3">
      <c r="A4">
        <v>1003</v>
      </c>
      <c r="B4">
        <v>0.6875</v>
      </c>
      <c r="C4">
        <v>0.72727272727272729</v>
      </c>
      <c r="D4">
        <v>0.64516129032258063</v>
      </c>
      <c r="E4">
        <v>0.83333333333333337</v>
      </c>
      <c r="F4">
        <v>0.66666666666666663</v>
      </c>
      <c r="G4">
        <v>0.68</v>
      </c>
      <c r="H4">
        <v>0.65384615384615385</v>
      </c>
      <c r="I4">
        <v>0.70833333333333337</v>
      </c>
    </row>
    <row r="5" spans="1:9" x14ac:dyDescent="0.3">
      <c r="A5">
        <v>1004</v>
      </c>
      <c r="B5">
        <v>0.64583333333333337</v>
      </c>
      <c r="C5">
        <v>0.70175438596491224</v>
      </c>
      <c r="D5">
        <v>0.60606060606060608</v>
      </c>
      <c r="E5">
        <v>0.83333333333333337</v>
      </c>
      <c r="F5">
        <v>0.66666666666666663</v>
      </c>
      <c r="G5">
        <v>0.70370370370370372</v>
      </c>
      <c r="H5">
        <v>0.6333333333333333</v>
      </c>
      <c r="I5">
        <v>0.79166666666666663</v>
      </c>
    </row>
    <row r="6" spans="1:9" x14ac:dyDescent="0.3">
      <c r="A6">
        <v>1005</v>
      </c>
      <c r="B6">
        <v>0.64583333333333337</v>
      </c>
      <c r="C6">
        <v>0.67924528301886788</v>
      </c>
      <c r="D6">
        <v>0.62068965517241381</v>
      </c>
      <c r="E6">
        <v>0.75</v>
      </c>
      <c r="F6">
        <v>0.64583333333333337</v>
      </c>
      <c r="G6">
        <v>0.67924528301886788</v>
      </c>
      <c r="H6">
        <v>0.62068965517241381</v>
      </c>
      <c r="I6">
        <v>0.75</v>
      </c>
    </row>
    <row r="7" spans="1:9" x14ac:dyDescent="0.3">
      <c r="B7">
        <f>AVERAGE(B2:B6)</f>
        <v>0.65833333333333344</v>
      </c>
      <c r="C7">
        <f t="shared" ref="C7:I7" si="0">AVERAGE(C2:C6)</f>
        <v>0.70269344029026248</v>
      </c>
      <c r="D7">
        <f t="shared" si="0"/>
        <v>0.62196295547241032</v>
      </c>
      <c r="E7">
        <f t="shared" si="0"/>
        <v>0.80833333333333335</v>
      </c>
      <c r="F7">
        <f t="shared" si="0"/>
        <v>0.65833333333333333</v>
      </c>
      <c r="G7">
        <f t="shared" si="0"/>
        <v>0.68438466913938611</v>
      </c>
      <c r="H7">
        <f t="shared" si="0"/>
        <v>0.63607118296773468</v>
      </c>
      <c r="I7">
        <f t="shared" si="0"/>
        <v>0.7416666666666667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2A54-E648-4E07-82BB-67D8C79F0AC0}">
  <sheetPr codeName="Sheet7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0.6875</v>
      </c>
      <c r="C2">
        <v>0.73684210526315785</v>
      </c>
      <c r="D2">
        <v>0.63636363636363635</v>
      </c>
      <c r="E2">
        <v>0.875</v>
      </c>
      <c r="F2">
        <v>0.6875</v>
      </c>
      <c r="G2">
        <v>0.72727272727272729</v>
      </c>
      <c r="H2">
        <v>0.64516129032258063</v>
      </c>
      <c r="I2">
        <v>0.83333333333333337</v>
      </c>
    </row>
    <row r="3" spans="1:9" x14ac:dyDescent="0.3">
      <c r="A3">
        <v>1002</v>
      </c>
      <c r="B3">
        <v>0.66666666666666663</v>
      </c>
      <c r="C3">
        <v>0.72413793103448276</v>
      </c>
      <c r="D3">
        <v>0.61764705882352944</v>
      </c>
      <c r="E3">
        <v>0.875</v>
      </c>
      <c r="F3">
        <v>0.64583333333333337</v>
      </c>
      <c r="G3">
        <v>0.70175438596491224</v>
      </c>
      <c r="H3">
        <v>0.60606060606060608</v>
      </c>
      <c r="I3">
        <v>0.83333333333333337</v>
      </c>
    </row>
    <row r="4" spans="1:9" x14ac:dyDescent="0.3">
      <c r="A4">
        <v>1003</v>
      </c>
      <c r="B4">
        <v>0.6875</v>
      </c>
      <c r="C4">
        <v>0.73684210526315785</v>
      </c>
      <c r="D4">
        <v>0.63636363636363635</v>
      </c>
      <c r="E4">
        <v>0.875</v>
      </c>
      <c r="F4">
        <v>0.6875</v>
      </c>
      <c r="G4">
        <v>0.72727272727272729</v>
      </c>
      <c r="H4">
        <v>0.64516129032258063</v>
      </c>
      <c r="I4">
        <v>0.83333333333333337</v>
      </c>
    </row>
    <row r="5" spans="1:9" x14ac:dyDescent="0.3">
      <c r="A5">
        <v>1004</v>
      </c>
      <c r="B5">
        <v>0.6875</v>
      </c>
      <c r="C5">
        <v>0.73684210526315785</v>
      </c>
      <c r="D5">
        <v>0.63636363636363635</v>
      </c>
      <c r="E5">
        <v>0.875</v>
      </c>
      <c r="F5">
        <v>0.6875</v>
      </c>
      <c r="G5">
        <v>0.72727272727272729</v>
      </c>
      <c r="H5">
        <v>0.64516129032258063</v>
      </c>
      <c r="I5">
        <v>0.83333333333333337</v>
      </c>
    </row>
    <row r="6" spans="1:9" x14ac:dyDescent="0.3">
      <c r="A6">
        <v>1005</v>
      </c>
      <c r="B6">
        <v>0.66666666666666663</v>
      </c>
      <c r="C6">
        <v>0.73333333333333328</v>
      </c>
      <c r="D6">
        <v>0.61111111111111116</v>
      </c>
      <c r="E6">
        <v>0.91666666666666663</v>
      </c>
      <c r="F6">
        <v>0.66666666666666663</v>
      </c>
      <c r="G6">
        <v>0.72413793103448276</v>
      </c>
      <c r="H6">
        <v>0.61764705882352944</v>
      </c>
      <c r="I6">
        <v>0.875</v>
      </c>
    </row>
    <row r="7" spans="1:9" x14ac:dyDescent="0.3">
      <c r="B7">
        <f>AVERAGE(B2:B6)</f>
        <v>0.67916666666666659</v>
      </c>
      <c r="C7">
        <f t="shared" ref="C7:I7" si="0">AVERAGE(C2:C6)</f>
        <v>0.73359951603145801</v>
      </c>
      <c r="D7">
        <f t="shared" si="0"/>
        <v>0.62756981580510984</v>
      </c>
      <c r="E7">
        <f t="shared" si="0"/>
        <v>0.88333333333333341</v>
      </c>
      <c r="F7">
        <f t="shared" si="0"/>
        <v>0.67500000000000004</v>
      </c>
      <c r="G7">
        <f t="shared" si="0"/>
        <v>0.72154209976351535</v>
      </c>
      <c r="H7">
        <f t="shared" si="0"/>
        <v>0.63183830717037548</v>
      </c>
      <c r="I7">
        <f t="shared" si="0"/>
        <v>0.84166666666666679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E728-833E-4705-9D11-F57C8399B702}">
  <sheetPr codeName="Sheet8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0.75</v>
      </c>
      <c r="C2">
        <v>0.75</v>
      </c>
      <c r="D2">
        <v>0.75</v>
      </c>
      <c r="E2">
        <v>0.75</v>
      </c>
      <c r="F2">
        <v>0.75</v>
      </c>
      <c r="G2">
        <v>0.75</v>
      </c>
      <c r="H2">
        <v>0.75</v>
      </c>
      <c r="I2">
        <v>0.75</v>
      </c>
    </row>
    <row r="3" spans="1:9" x14ac:dyDescent="0.3">
      <c r="A3">
        <v>1002</v>
      </c>
      <c r="B3">
        <v>0.6875</v>
      </c>
      <c r="C3">
        <v>0.71698113207547165</v>
      </c>
      <c r="D3">
        <v>0.65517241379310343</v>
      </c>
      <c r="E3">
        <v>0.79166666666666663</v>
      </c>
      <c r="F3">
        <v>0.70833333333333337</v>
      </c>
      <c r="G3">
        <v>0.72</v>
      </c>
      <c r="H3">
        <v>0.69230769230769229</v>
      </c>
      <c r="I3">
        <v>0.75</v>
      </c>
    </row>
    <row r="4" spans="1:9" x14ac:dyDescent="0.3">
      <c r="A4">
        <v>1003</v>
      </c>
      <c r="B4">
        <v>0.72916666666666663</v>
      </c>
      <c r="C4">
        <v>0.73469387755102045</v>
      </c>
      <c r="D4">
        <v>0.72</v>
      </c>
      <c r="E4">
        <v>0.75</v>
      </c>
      <c r="F4">
        <v>0.77083333333333337</v>
      </c>
      <c r="G4">
        <v>0.76595744680851063</v>
      </c>
      <c r="H4">
        <v>0.78260869565217395</v>
      </c>
      <c r="I4">
        <v>0.75</v>
      </c>
    </row>
    <row r="5" spans="1:9" x14ac:dyDescent="0.3">
      <c r="A5">
        <v>1004</v>
      </c>
      <c r="B5">
        <v>0.66666666666666663</v>
      </c>
      <c r="C5">
        <v>0.69230769230769229</v>
      </c>
      <c r="D5">
        <v>0.6428571428571429</v>
      </c>
      <c r="E5">
        <v>0.75</v>
      </c>
      <c r="F5">
        <v>0.6875</v>
      </c>
      <c r="G5">
        <v>0.69387755102040816</v>
      </c>
      <c r="H5">
        <v>0.68</v>
      </c>
      <c r="I5">
        <v>0.70833333333333337</v>
      </c>
    </row>
    <row r="6" spans="1:9" x14ac:dyDescent="0.3">
      <c r="A6">
        <v>1005</v>
      </c>
      <c r="B6">
        <v>0.72916666666666663</v>
      </c>
      <c r="C6">
        <v>0.74509803921568629</v>
      </c>
      <c r="D6">
        <v>0.70370370370370372</v>
      </c>
      <c r="E6">
        <v>0.79166666666666663</v>
      </c>
      <c r="F6">
        <v>0.77083333333333337</v>
      </c>
      <c r="G6">
        <v>0.75555555555555554</v>
      </c>
      <c r="H6">
        <v>0.80952380952380953</v>
      </c>
      <c r="I6">
        <v>0.70833333333333337</v>
      </c>
    </row>
    <row r="7" spans="1:9" x14ac:dyDescent="0.3">
      <c r="B7">
        <f>AVERAGE(B2:B6)</f>
        <v>0.71249999999999991</v>
      </c>
      <c r="C7">
        <f t="shared" ref="C7:I7" si="0">AVERAGE(C2:C6)</f>
        <v>0.72781614822997409</v>
      </c>
      <c r="D7">
        <f t="shared" si="0"/>
        <v>0.69434665207078994</v>
      </c>
      <c r="E7">
        <f t="shared" si="0"/>
        <v>0.76666666666666661</v>
      </c>
      <c r="F7">
        <f t="shared" si="0"/>
        <v>0.73750000000000004</v>
      </c>
      <c r="G7">
        <f t="shared" si="0"/>
        <v>0.73707811067689488</v>
      </c>
      <c r="H7">
        <f t="shared" si="0"/>
        <v>0.74288803949673521</v>
      </c>
      <c r="I7">
        <f t="shared" si="0"/>
        <v>0.73333333333333339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C974-49B9-44B8-892F-9C281A18F097}">
  <sheetPr codeName="Sheet9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0.625</v>
      </c>
      <c r="C2">
        <v>0.7</v>
      </c>
      <c r="D2">
        <v>0.58333333333333337</v>
      </c>
      <c r="E2">
        <v>0.875</v>
      </c>
      <c r="F2">
        <v>0.6875</v>
      </c>
      <c r="G2">
        <v>0.74576271186440679</v>
      </c>
      <c r="H2">
        <v>0.62857142857142856</v>
      </c>
      <c r="I2">
        <v>0.91666666666666663</v>
      </c>
    </row>
    <row r="3" spans="1:9" x14ac:dyDescent="0.3">
      <c r="A3">
        <v>1002</v>
      </c>
      <c r="B3">
        <v>0.6875</v>
      </c>
      <c r="C3">
        <v>0.71698113207547165</v>
      </c>
      <c r="D3">
        <v>0.65517241379310343</v>
      </c>
      <c r="E3">
        <v>0.79166666666666663</v>
      </c>
      <c r="F3">
        <v>0.6875</v>
      </c>
      <c r="G3">
        <v>0.69387755102040816</v>
      </c>
      <c r="H3">
        <v>0.68</v>
      </c>
      <c r="I3">
        <v>0.70833333333333337</v>
      </c>
    </row>
    <row r="4" spans="1:9" x14ac:dyDescent="0.3">
      <c r="A4">
        <v>1003</v>
      </c>
      <c r="B4">
        <v>0.72916666666666663</v>
      </c>
      <c r="C4">
        <v>0.76363636363636367</v>
      </c>
      <c r="D4">
        <v>0.67741935483870963</v>
      </c>
      <c r="E4">
        <v>0.875</v>
      </c>
      <c r="F4">
        <v>0.72916666666666663</v>
      </c>
      <c r="G4">
        <v>0.76363636363636367</v>
      </c>
      <c r="H4">
        <v>0.67741935483870963</v>
      </c>
      <c r="I4">
        <v>0.875</v>
      </c>
    </row>
    <row r="5" spans="1:9" x14ac:dyDescent="0.3">
      <c r="A5">
        <v>1004</v>
      </c>
      <c r="B5">
        <v>0.6875</v>
      </c>
      <c r="C5">
        <v>0.70588235294117652</v>
      </c>
      <c r="D5">
        <v>0.66666666666666663</v>
      </c>
      <c r="E5">
        <v>0.75</v>
      </c>
      <c r="F5">
        <v>0.6875</v>
      </c>
      <c r="G5">
        <v>0.69387755102040816</v>
      </c>
      <c r="H5">
        <v>0.68</v>
      </c>
      <c r="I5">
        <v>0.70833333333333337</v>
      </c>
    </row>
    <row r="6" spans="1:9" x14ac:dyDescent="0.3">
      <c r="A6">
        <v>1005</v>
      </c>
      <c r="B6">
        <v>0.70833333333333337</v>
      </c>
      <c r="C6">
        <v>0.75</v>
      </c>
      <c r="D6">
        <v>0.65625</v>
      </c>
      <c r="E6">
        <v>0.875</v>
      </c>
      <c r="F6">
        <v>0.72916666666666663</v>
      </c>
      <c r="G6">
        <v>0.75471698113207553</v>
      </c>
      <c r="H6">
        <v>0.68965517241379315</v>
      </c>
      <c r="I6">
        <v>0.83333333333333337</v>
      </c>
    </row>
    <row r="7" spans="1:9" x14ac:dyDescent="0.3">
      <c r="B7">
        <f>AVERAGE(B2:B6)</f>
        <v>0.6875</v>
      </c>
      <c r="C7">
        <f t="shared" ref="C7:I7" si="0">AVERAGE(C2:C6)</f>
        <v>0.7272999697306024</v>
      </c>
      <c r="D7">
        <f t="shared" si="0"/>
        <v>0.64776835372636254</v>
      </c>
      <c r="E7">
        <f t="shared" si="0"/>
        <v>0.83333333333333326</v>
      </c>
      <c r="F7">
        <f t="shared" si="0"/>
        <v>0.70416666666666661</v>
      </c>
      <c r="G7">
        <f t="shared" si="0"/>
        <v>0.73037423173473248</v>
      </c>
      <c r="H7">
        <f t="shared" si="0"/>
        <v>0.67112919116478631</v>
      </c>
      <c r="I7">
        <f t="shared" si="0"/>
        <v>0.80833333333333335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FBFE-1DFB-41BC-B0C1-E4BF7E1589FF}">
  <sheetPr codeName="Sheet10"/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0.64583333333333337</v>
      </c>
      <c r="C2">
        <v>0.72131147540983609</v>
      </c>
      <c r="D2">
        <v>0.59459459459459463</v>
      </c>
      <c r="E2">
        <v>0.91666666666666663</v>
      </c>
      <c r="F2">
        <v>0.70833333333333337</v>
      </c>
      <c r="G2">
        <v>0.76666666666666672</v>
      </c>
      <c r="H2">
        <v>0.63888888888888884</v>
      </c>
      <c r="I2">
        <v>0.95833333333333337</v>
      </c>
    </row>
    <row r="3" spans="1:9" x14ac:dyDescent="0.3">
      <c r="A3">
        <v>1002</v>
      </c>
      <c r="B3">
        <v>0.72916666666666663</v>
      </c>
      <c r="C3">
        <v>0.76363636363636367</v>
      </c>
      <c r="D3">
        <v>0.67741935483870963</v>
      </c>
      <c r="E3">
        <v>0.875</v>
      </c>
      <c r="F3">
        <v>0.72916666666666663</v>
      </c>
      <c r="G3">
        <v>0.76363636363636367</v>
      </c>
      <c r="H3">
        <v>0.67741935483870963</v>
      </c>
      <c r="I3">
        <v>0.875</v>
      </c>
    </row>
    <row r="4" spans="1:9" x14ac:dyDescent="0.3">
      <c r="A4">
        <v>1003</v>
      </c>
      <c r="B4">
        <v>0.6875</v>
      </c>
      <c r="C4">
        <v>0.73684210526315785</v>
      </c>
      <c r="D4">
        <v>0.63636363636363635</v>
      </c>
      <c r="E4">
        <v>0.875</v>
      </c>
      <c r="F4">
        <v>0.72916666666666663</v>
      </c>
      <c r="G4">
        <v>0.77192982456140347</v>
      </c>
      <c r="H4">
        <v>0.66666666666666663</v>
      </c>
      <c r="I4">
        <v>0.91666666666666663</v>
      </c>
    </row>
    <row r="5" spans="1:9" x14ac:dyDescent="0.3">
      <c r="A5">
        <v>1004</v>
      </c>
      <c r="B5">
        <v>0.70833333333333337</v>
      </c>
      <c r="C5">
        <v>0.75862068965517238</v>
      </c>
      <c r="D5">
        <v>0.6470588235294118</v>
      </c>
      <c r="E5">
        <v>0.91666666666666663</v>
      </c>
      <c r="F5">
        <v>0.75</v>
      </c>
      <c r="G5">
        <v>0.7857142857142857</v>
      </c>
      <c r="H5">
        <v>0.6875</v>
      </c>
      <c r="I5">
        <v>0.91666666666666663</v>
      </c>
    </row>
    <row r="6" spans="1:9" x14ac:dyDescent="0.3">
      <c r="A6">
        <v>1005</v>
      </c>
      <c r="B6">
        <v>0.66666666666666663</v>
      </c>
      <c r="C6">
        <v>0.72413793103448276</v>
      </c>
      <c r="D6">
        <v>0.61764705882352944</v>
      </c>
      <c r="E6">
        <v>0.875</v>
      </c>
      <c r="F6">
        <v>0.75</v>
      </c>
      <c r="G6">
        <v>0.7857142857142857</v>
      </c>
      <c r="H6">
        <v>0.6875</v>
      </c>
      <c r="I6">
        <v>0.91666666666666663</v>
      </c>
    </row>
    <row r="7" spans="1:9" x14ac:dyDescent="0.3">
      <c r="B7">
        <f>AVERAGE(B2:B6)</f>
        <v>0.6875</v>
      </c>
      <c r="C7">
        <f t="shared" ref="C7:I7" si="0">AVERAGE(C2:C6)</f>
        <v>0.74090971299980246</v>
      </c>
      <c r="D7">
        <f t="shared" si="0"/>
        <v>0.6346166936299763</v>
      </c>
      <c r="E7">
        <f t="shared" si="0"/>
        <v>0.89166666666666661</v>
      </c>
      <c r="F7">
        <f t="shared" si="0"/>
        <v>0.73333333333333328</v>
      </c>
      <c r="G7">
        <f t="shared" si="0"/>
        <v>0.77473228525860094</v>
      </c>
      <c r="H7">
        <f t="shared" si="0"/>
        <v>0.67159498207885293</v>
      </c>
      <c r="I7">
        <f t="shared" si="0"/>
        <v>0.91666666666666663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C5E6-38D9-4A51-8297-1F940A181583}">
  <sheetPr codeName="Sheet11"/>
  <dimension ref="A1:I7"/>
  <sheetViews>
    <sheetView topLeftCell="E1" workbookViewId="0">
      <selection activeCell="C21" sqref="C2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0.875</v>
      </c>
      <c r="C2">
        <v>0.88</v>
      </c>
      <c r="D2">
        <v>0.84615384615384615</v>
      </c>
      <c r="E2">
        <v>0.91666666666666663</v>
      </c>
      <c r="F2">
        <v>0.85416666666666663</v>
      </c>
      <c r="G2">
        <v>0.84444444444444444</v>
      </c>
      <c r="H2">
        <v>0.90476190476190477</v>
      </c>
      <c r="I2">
        <v>0.79166666666666663</v>
      </c>
    </row>
    <row r="3" spans="1:9" x14ac:dyDescent="0.3">
      <c r="A3">
        <v>1002</v>
      </c>
      <c r="B3">
        <v>0.85416666666666663</v>
      </c>
      <c r="C3">
        <v>0.85106382978723405</v>
      </c>
      <c r="D3">
        <v>0.86956521739130432</v>
      </c>
      <c r="E3">
        <v>0.83333333333333337</v>
      </c>
      <c r="F3">
        <v>0.8125</v>
      </c>
      <c r="G3">
        <v>0.79069767441860461</v>
      </c>
      <c r="H3">
        <v>0.89473684210526316</v>
      </c>
      <c r="I3">
        <v>0.70833333333333337</v>
      </c>
    </row>
    <row r="4" spans="1:9" x14ac:dyDescent="0.3">
      <c r="A4">
        <v>1003</v>
      </c>
      <c r="B4">
        <v>0.89583333333333337</v>
      </c>
      <c r="C4">
        <v>0.90196078431372562</v>
      </c>
      <c r="D4">
        <v>0.85185185185185186</v>
      </c>
      <c r="E4">
        <v>0.95833333333333337</v>
      </c>
      <c r="F4">
        <v>0.89583333333333337</v>
      </c>
      <c r="G4">
        <v>0.89795918367346939</v>
      </c>
      <c r="H4">
        <v>0.88</v>
      </c>
      <c r="I4">
        <v>0.91666666666666663</v>
      </c>
    </row>
    <row r="5" spans="1:9" x14ac:dyDescent="0.3">
      <c r="A5">
        <v>1004</v>
      </c>
      <c r="B5">
        <v>0.875</v>
      </c>
      <c r="C5">
        <v>0.88</v>
      </c>
      <c r="D5">
        <v>0.84615384615384615</v>
      </c>
      <c r="E5">
        <v>0.91666666666666663</v>
      </c>
      <c r="F5">
        <v>0.875</v>
      </c>
      <c r="G5">
        <v>0.875</v>
      </c>
      <c r="H5">
        <v>0.875</v>
      </c>
      <c r="I5">
        <v>0.875</v>
      </c>
    </row>
    <row r="6" spans="1:9" x14ac:dyDescent="0.3">
      <c r="A6">
        <v>1005</v>
      </c>
      <c r="B6">
        <v>0.85416666666666663</v>
      </c>
      <c r="C6">
        <v>0.8571428571428571</v>
      </c>
      <c r="D6">
        <v>0.84</v>
      </c>
      <c r="E6">
        <v>0.875</v>
      </c>
      <c r="F6">
        <v>0.875</v>
      </c>
      <c r="G6">
        <v>0.86956521739130432</v>
      </c>
      <c r="H6">
        <v>0.90909090909090906</v>
      </c>
      <c r="I6">
        <v>0.83333333333333337</v>
      </c>
    </row>
    <row r="7" spans="1:9" x14ac:dyDescent="0.3">
      <c r="B7">
        <f>SUBTOTAL(101,whisper_log_last1_auto_no___1[acc_test])</f>
        <v>0.87083333333333335</v>
      </c>
      <c r="C7">
        <f>SUBTOTAL(101,whisper_log_last1_auto_no___1[f1])</f>
        <v>0.87403349424876331</v>
      </c>
      <c r="D7">
        <f>SUBTOTAL(101,whisper_log_last1_auto_no___1[precision])</f>
        <v>0.85074495231016978</v>
      </c>
      <c r="E7">
        <f>SUBTOTAL(101,whisper_log_last1_auto_no___1[recall])</f>
        <v>0.9</v>
      </c>
      <c r="F7">
        <f>SUBTOTAL(101,whisper_log_last1_auto_no___1[acc_test_vote])</f>
        <v>0.86250000000000004</v>
      </c>
      <c r="G7">
        <f>SUBTOTAL(101,whisper_log_last1_auto_no___1[f1_vote])</f>
        <v>0.85553330398556449</v>
      </c>
      <c r="H7">
        <f>SUBTOTAL(101,whisper_log_last1_auto_no___1[precision_vote])</f>
        <v>0.89271793119161535</v>
      </c>
      <c r="I7">
        <f>SUBTOTAL(101,whisper_log_last1_auto_no___1[recall_vote])</f>
        <v>0.82499999999999996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6355-8EEA-4B38-AFD2-4BE603489EFB}">
  <sheetPr codeName="Sheet12"/>
  <dimension ref="A1:I7"/>
  <sheetViews>
    <sheetView topLeftCell="F1"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0.60416666666666663</v>
      </c>
      <c r="C2">
        <v>0.69841269841269837</v>
      </c>
      <c r="D2">
        <v>0.5641025641025641</v>
      </c>
      <c r="E2">
        <v>0.91666666666666663</v>
      </c>
      <c r="F2">
        <v>0.58333333333333337</v>
      </c>
      <c r="G2">
        <v>0.67741935483870963</v>
      </c>
      <c r="H2">
        <v>0.55263157894736847</v>
      </c>
      <c r="I2">
        <v>0.875</v>
      </c>
    </row>
    <row r="3" spans="1:9" x14ac:dyDescent="0.3">
      <c r="A3">
        <v>1002</v>
      </c>
      <c r="B3">
        <v>0.64583333333333337</v>
      </c>
      <c r="C3">
        <v>0.71186440677966101</v>
      </c>
      <c r="D3">
        <v>0.6</v>
      </c>
      <c r="E3">
        <v>0.875</v>
      </c>
      <c r="F3">
        <v>0.64583333333333337</v>
      </c>
      <c r="G3">
        <v>0.70175438596491224</v>
      </c>
      <c r="H3">
        <v>0.60606060606060608</v>
      </c>
      <c r="I3">
        <v>0.83333333333333337</v>
      </c>
    </row>
    <row r="4" spans="1:9" x14ac:dyDescent="0.3">
      <c r="A4">
        <v>1003</v>
      </c>
      <c r="B4">
        <v>0.64583333333333337</v>
      </c>
      <c r="C4">
        <v>0.71186440677966101</v>
      </c>
      <c r="D4">
        <v>0.6</v>
      </c>
      <c r="E4">
        <v>0.875</v>
      </c>
      <c r="F4">
        <v>0.64583333333333337</v>
      </c>
      <c r="G4">
        <v>0.71186440677966101</v>
      </c>
      <c r="H4">
        <v>0.6</v>
      </c>
      <c r="I4">
        <v>0.875</v>
      </c>
    </row>
    <row r="5" spans="1:9" x14ac:dyDescent="0.3">
      <c r="A5">
        <v>1004</v>
      </c>
      <c r="B5">
        <v>0.625</v>
      </c>
      <c r="C5">
        <v>0.7</v>
      </c>
      <c r="D5">
        <v>0.58333333333333337</v>
      </c>
      <c r="E5">
        <v>0.875</v>
      </c>
      <c r="F5">
        <v>0.64583333333333337</v>
      </c>
      <c r="G5">
        <v>0.71186440677966101</v>
      </c>
      <c r="H5">
        <v>0.6</v>
      </c>
      <c r="I5">
        <v>0.875</v>
      </c>
    </row>
    <row r="6" spans="1:9" x14ac:dyDescent="0.3">
      <c r="A6">
        <v>1005</v>
      </c>
      <c r="B6">
        <v>0.64583333333333337</v>
      </c>
      <c r="C6">
        <v>0.71186440677966101</v>
      </c>
      <c r="D6">
        <v>0.6</v>
      </c>
      <c r="E6">
        <v>0.875</v>
      </c>
      <c r="F6">
        <v>0.60416666666666663</v>
      </c>
      <c r="G6">
        <v>0.68852459016393441</v>
      </c>
      <c r="H6">
        <v>0.56756756756756754</v>
      </c>
      <c r="I6">
        <v>0.875</v>
      </c>
    </row>
    <row r="7" spans="1:9" x14ac:dyDescent="0.3">
      <c r="B7">
        <f>SUBTOTAL(101,whisper_single1_log_auto_no____2[acc_test])</f>
        <v>0.63333333333333341</v>
      </c>
      <c r="C7">
        <f>SUBTOTAL(101,whisper_single1_log_auto_no____2[f1])</f>
        <v>0.70680118375033629</v>
      </c>
      <c r="D7">
        <f>SUBTOTAL(101,whisper_single1_log_auto_no____2[precision])</f>
        <v>0.58948717948717955</v>
      </c>
      <c r="E7">
        <f>SUBTOTAL(101,whisper_single1_log_auto_no____2[recall])</f>
        <v>0.88333333333333319</v>
      </c>
      <c r="F7">
        <f>SUBTOTAL(101,whisper_single1_log_auto_no____2[acc_test_vote])</f>
        <v>0.625</v>
      </c>
      <c r="G7">
        <f>SUBTOTAL(101,whisper_single1_log_auto_no____2[f1_vote])</f>
        <v>0.69828542890537559</v>
      </c>
      <c r="H7">
        <f>SUBTOTAL(101,whisper_single1_log_auto_no____2[precision_vote])</f>
        <v>0.58525195051510848</v>
      </c>
      <c r="I7">
        <f>SUBTOTAL(101,whisper_single1_log_auto_no____2[recall_vote])</f>
        <v>0.86666666666666681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DA08A-0F4B-4D32-954F-6D9B9617859D}">
  <sheetPr codeName="Sheet13"/>
  <dimension ref="B1:C12"/>
  <sheetViews>
    <sheetView tabSelected="1" topLeftCell="B1" workbookViewId="0">
      <selection activeCell="D20" sqref="D20"/>
    </sheetView>
  </sheetViews>
  <sheetFormatPr defaultRowHeight="14" x14ac:dyDescent="0.3"/>
  <sheetData>
    <row r="1" spans="2:3" x14ac:dyDescent="0.3">
      <c r="B1">
        <f ca="1">INDIRECT("'"&amp; 1 &amp; "'!F7")</f>
        <v>0.625</v>
      </c>
      <c r="C1">
        <f ca="1">INDIRECT("'"&amp; 1 &amp; "'!G7")</f>
        <v>0.69828542890537559</v>
      </c>
    </row>
    <row r="2" spans="2:3" x14ac:dyDescent="0.3">
      <c r="B2">
        <f ca="1">INDIRECT("'"&amp; 2 &amp; "'!F7")</f>
        <v>0.73333333333333328</v>
      </c>
      <c r="C2">
        <f ca="1">INDIRECT("'"&amp; 2 &amp; "'!G7")</f>
        <v>0.77473228525860094</v>
      </c>
    </row>
    <row r="3" spans="2:3" x14ac:dyDescent="0.3">
      <c r="B3">
        <f ca="1">INDIRECT("'"&amp; 3 &amp; "'!F7")</f>
        <v>0.70416666666666661</v>
      </c>
      <c r="C3">
        <f ca="1">INDIRECT("'"&amp; 3 &amp; "'!G7")</f>
        <v>0.73037423173473248</v>
      </c>
    </row>
    <row r="4" spans="2:3" x14ac:dyDescent="0.3">
      <c r="B4">
        <f ca="1">INDIRECT("'"&amp; 4 &amp; "'!F7")</f>
        <v>0.67500000000000004</v>
      </c>
      <c r="C4">
        <f ca="1">INDIRECT("'"&amp; 4 &amp; "'!G7")</f>
        <v>0.72154209976351535</v>
      </c>
    </row>
    <row r="5" spans="2:3" x14ac:dyDescent="0.3">
      <c r="B5">
        <f ca="1">INDIRECT("'"&amp; 5 &amp; "'!F7")</f>
        <v>0.65833333333333333</v>
      </c>
      <c r="C5">
        <f ca="1">INDIRECT("'"&amp; 5 &amp; "'!G7")</f>
        <v>0.68438466913938611</v>
      </c>
    </row>
    <row r="6" spans="2:3" x14ac:dyDescent="0.3">
      <c r="B6">
        <f ca="1">INDIRECT("'"&amp; 6 &amp; "'!F7")</f>
        <v>0.76666666666666672</v>
      </c>
      <c r="C6">
        <f ca="1">INDIRECT("'"&amp; 6 &amp; "'!G7")</f>
        <v>0.78090194026328485</v>
      </c>
    </row>
    <row r="7" spans="2:3" x14ac:dyDescent="0.3">
      <c r="B7">
        <f ca="1">INDIRECT("'"&amp; 7 &amp; "'!F7")</f>
        <v>0.72916666666666663</v>
      </c>
      <c r="C7">
        <f ca="1">INDIRECT("'"&amp; 7 &amp; "'!G7")</f>
        <v>0.73022122373463727</v>
      </c>
    </row>
    <row r="8" spans="2:3" x14ac:dyDescent="0.3">
      <c r="B8">
        <f ca="1">INDIRECT("'"&amp; 8 &amp; "'!F7")</f>
        <v>0.79166666666666663</v>
      </c>
      <c r="C8">
        <f ca="1">INDIRECT("'"&amp; 8 &amp; "'!G7")</f>
        <v>0.78789700894233727</v>
      </c>
    </row>
    <row r="9" spans="2:3" x14ac:dyDescent="0.3">
      <c r="B9">
        <f ca="1">INDIRECT("'"&amp; 9 &amp; "'!F7")</f>
        <v>0.73750000000000004</v>
      </c>
      <c r="C9">
        <f ca="1">INDIRECT("'"&amp; 9 &amp; "'!G7")</f>
        <v>0.73707811067689488</v>
      </c>
    </row>
    <row r="10" spans="2:3" x14ac:dyDescent="0.3">
      <c r="B10">
        <f ca="1">INDIRECT("'"&amp; 10 &amp; "'!F7")</f>
        <v>0.75416666666666665</v>
      </c>
      <c r="C10">
        <f ca="1">INDIRECT("'"&amp; 10 &amp; "'!G7")</f>
        <v>0.73531035241079779</v>
      </c>
    </row>
    <row r="11" spans="2:3" x14ac:dyDescent="0.3">
      <c r="B11">
        <f ca="1">INDIRECT("'"&amp; 11 &amp; "'!F7")</f>
        <v>0.85833333333333339</v>
      </c>
      <c r="C11">
        <f ca="1">INDIRECT("'"&amp; 11 &amp; "'!G7")</f>
        <v>0.85952380952380947</v>
      </c>
    </row>
    <row r="12" spans="2:3" x14ac:dyDescent="0.3">
      <c r="B12">
        <f ca="1">INDIRECT("'"&amp; 12 &amp; "'!F7")</f>
        <v>0.86250000000000004</v>
      </c>
      <c r="C12">
        <f ca="1">INDIRECT("'"&amp; 12 &amp; "'!G7")</f>
        <v>0.85553330398556449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38C077-485D-493D-8DF3-13572A777A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11</vt:lpstr>
      <vt:lpstr>10</vt:lpstr>
      <vt:lpstr>8</vt:lpstr>
      <vt:lpstr>7</vt:lpstr>
      <vt:lpstr>6</vt:lpstr>
      <vt:lpstr>5</vt:lpstr>
      <vt:lpstr>4</vt:lpstr>
      <vt:lpstr>9</vt:lpstr>
      <vt:lpstr>3</vt:lpstr>
      <vt:lpstr>2</vt:lpstr>
      <vt:lpstr>12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2025-10-28T08:25:20Z</dcterms:created>
  <dcterms:modified xsi:type="dcterms:W3CDTF">2025-11-01T13:33:00Z</dcterms:modified>
</cp:coreProperties>
</file>