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aperSource\whisper1_12\NCMMSC2021\NCMM_single\"/>
    </mc:Choice>
  </mc:AlternateContent>
  <xr:revisionPtr revIDLastSave="0" documentId="13_ncr:1_{AE9F5165-779B-45FB-8828-9EF8E1420B45}" xr6:coauthVersionLast="47" xr6:coauthVersionMax="47" xr10:uidLastSave="{00000000-0000-0000-0000-000000000000}"/>
  <bookViews>
    <workbookView xWindow="2550" yWindow="2500" windowWidth="19150" windowHeight="11710" activeTab="12" xr2:uid="{6F7EEACF-4741-4137-9F0B-7AF0876AA96F}"/>
  </bookViews>
  <sheets>
    <sheet name="11" sheetId="7" r:id="rId1"/>
    <sheet name="6" sheetId="6" r:id="rId2"/>
    <sheet name="7" sheetId="5" r:id="rId3"/>
    <sheet name="9" sheetId="4" r:id="rId4"/>
    <sheet name="10" sheetId="3" r:id="rId5"/>
    <sheet name="12" sheetId="2" r:id="rId6"/>
    <sheet name="3" sheetId="10" r:id="rId7"/>
    <sheet name="4" sheetId="9" r:id="rId8"/>
    <sheet name="5" sheetId="8" r:id="rId9"/>
    <sheet name="8" sheetId="11" r:id="rId10"/>
    <sheet name="1" sheetId="13" r:id="rId11"/>
    <sheet name="2" sheetId="14" r:id="rId12"/>
    <sheet name="Sheet1" sheetId="1" r:id="rId13"/>
  </sheets>
  <definedNames>
    <definedName name="ExternalData_1" localSheetId="10" hidden="1">'1'!$A$1:$I$6</definedName>
    <definedName name="ExternalData_1" localSheetId="5" hidden="1">'12'!$A$1:$I$6</definedName>
    <definedName name="ExternalData_1" localSheetId="11" hidden="1">'2'!$A$1:$I$6</definedName>
    <definedName name="ExternalData_1" localSheetId="8" hidden="1">'5'!$A$1:$I$6</definedName>
    <definedName name="ExternalData_1" localSheetId="9" hidden="1">'8'!$A$1:$I$6</definedName>
    <definedName name="ExternalData_2" localSheetId="4" hidden="1">'10'!$A$1:$I$6</definedName>
    <definedName name="ExternalData_2" localSheetId="7" hidden="1">'4'!$A$1:$I$6</definedName>
    <definedName name="ExternalData_3" localSheetId="6" hidden="1">'3'!$A$1:$I$6</definedName>
    <definedName name="ExternalData_3" localSheetId="3" hidden="1">'9'!$A$1:$I$6</definedName>
    <definedName name="ExternalData_4" localSheetId="2" hidden="1">'7'!$A$1:$I$6</definedName>
    <definedName name="ExternalData_5" localSheetId="1" hidden="1">'6'!$A$1:$I$6</definedName>
    <definedName name="ExternalData_6" localSheetId="0" hidden="1">'11'!$A$1:$I$6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1" i="1"/>
  <c r="C10" i="1"/>
  <c r="C9" i="1"/>
  <c r="C8" i="1"/>
  <c r="C6" i="1"/>
  <c r="C5" i="1"/>
  <c r="C4" i="1"/>
  <c r="C3" i="1"/>
  <c r="C2" i="1"/>
  <c r="C1" i="1"/>
  <c r="C7" i="14"/>
  <c r="D7" i="14"/>
  <c r="E7" i="14"/>
  <c r="F7" i="14"/>
  <c r="G7" i="14"/>
  <c r="H7" i="14"/>
  <c r="I7" i="14"/>
  <c r="B7" i="14"/>
  <c r="C7" i="13"/>
  <c r="D7" i="13"/>
  <c r="E7" i="13"/>
  <c r="F7" i="13"/>
  <c r="G7" i="13"/>
  <c r="H7" i="13"/>
  <c r="I7" i="13"/>
  <c r="B7" i="13"/>
  <c r="C7" i="11"/>
  <c r="D7" i="11"/>
  <c r="E7" i="11"/>
  <c r="F7" i="11"/>
  <c r="G7" i="11"/>
  <c r="H7" i="11"/>
  <c r="I7" i="11"/>
  <c r="B7" i="11"/>
  <c r="C7" i="7"/>
  <c r="D7" i="7"/>
  <c r="E7" i="7"/>
  <c r="F7" i="7"/>
  <c r="G7" i="7"/>
  <c r="H7" i="7"/>
  <c r="I7" i="7"/>
  <c r="C7" i="6"/>
  <c r="D7" i="6"/>
  <c r="E7" i="6"/>
  <c r="F7" i="6"/>
  <c r="G7" i="6"/>
  <c r="H7" i="6"/>
  <c r="I7" i="6"/>
  <c r="C7" i="5"/>
  <c r="D7" i="5"/>
  <c r="E7" i="5"/>
  <c r="F7" i="5"/>
  <c r="G7" i="5"/>
  <c r="H7" i="5"/>
  <c r="I7" i="5"/>
  <c r="C7" i="4"/>
  <c r="D7" i="4"/>
  <c r="E7" i="4"/>
  <c r="F7" i="4"/>
  <c r="G7" i="4"/>
  <c r="H7" i="4"/>
  <c r="I7" i="4"/>
  <c r="C7" i="3"/>
  <c r="D7" i="3"/>
  <c r="E7" i="3"/>
  <c r="F7" i="3"/>
  <c r="G7" i="3"/>
  <c r="H7" i="3"/>
  <c r="I7" i="3"/>
  <c r="C7" i="2"/>
  <c r="D7" i="2"/>
  <c r="E7" i="2"/>
  <c r="F7" i="2"/>
  <c r="G7" i="2"/>
  <c r="H7" i="2"/>
  <c r="I7" i="2"/>
  <c r="C7" i="10"/>
  <c r="D7" i="10"/>
  <c r="E7" i="10"/>
  <c r="F7" i="10"/>
  <c r="G7" i="10"/>
  <c r="H7" i="10"/>
  <c r="I7" i="10"/>
  <c r="C7" i="9"/>
  <c r="D7" i="9"/>
  <c r="E7" i="9"/>
  <c r="F7" i="9"/>
  <c r="G7" i="9"/>
  <c r="H7" i="9"/>
  <c r="I7" i="9"/>
  <c r="C7" i="8"/>
  <c r="D7" i="8"/>
  <c r="E7" i="8"/>
  <c r="F7" i="8"/>
  <c r="G7" i="8"/>
  <c r="H7" i="8"/>
  <c r="I7" i="8"/>
  <c r="B7" i="7"/>
  <c r="B7" i="6"/>
  <c r="B7" i="5"/>
  <c r="B7" i="4"/>
  <c r="B7" i="3"/>
  <c r="B7" i="2"/>
  <c r="B7" i="10"/>
  <c r="B7" i="9"/>
  <c r="B7" i="8"/>
  <c r="C7" i="1"/>
  <c r="B1" i="1"/>
  <c r="B7" i="1"/>
  <c r="B6" i="1"/>
  <c r="B2" i="1"/>
  <c r="B3" i="1"/>
  <c r="B4" i="1"/>
  <c r="B5" i="1"/>
  <c r="B8" i="1"/>
  <c r="B9" i="1"/>
  <c r="B10" i="1"/>
  <c r="B11" i="1"/>
  <c r="B1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EC9862-68EF-4AC4-9098-02A9E3EA80A9}" keepAlive="1" name="查询 - whisepr_single1_log_predict_auto(1)_(1)" description="与工作簿中“whisepr_single1_log_predict_auto(1)_(1)”查询的连接。" type="5" refreshedVersion="0" background="1">
    <dbPr connection="Provider=Microsoft.Mashup.OleDb.1;Data Source=$Workbook$;Location=whisepr_single1_log_predict_auto(1)_(1);Extended Properties=&quot;&quot;" command="SELECT * FROM [whisepr_single1_log_predict_auto(1)_(1)]"/>
  </connection>
  <connection id="2" xr16:uid="{CFC9321B-239B-4736-AD80-24DD74EEB934}" keepAlive="1" name="查询 - whisper_single1_log_auto(1)_(1)" description="与工作簿中“whisper_single1_log_auto(1)_(1)”查询的连接。" type="5" refreshedVersion="8" background="1" saveData="1">
    <dbPr connection="Provider=Microsoft.Mashup.OleDb.1;Data Source=$Workbook$;Location=whisper_single1_log_auto(1)_(1);Extended Properties=&quot;&quot;" command="SELECT * FROM [whisper_single1_log_auto(1)_(1)]"/>
  </connection>
  <connection id="3" xr16:uid="{FCD83DFD-EBBB-40B4-A15A-9F22BD9397EB}" keepAlive="1" name="查询 - whisper_single10_log_auto(1)_(1)" description="与工作簿中“whisper_single10_log_auto(1)_(1)”查询的连接。" type="5" refreshedVersion="8" background="1" saveData="1">
    <dbPr connection="Provider=Microsoft.Mashup.OleDb.1;Data Source=$Workbook$;Location=whisper_single10_log_auto(1)_(1);Extended Properties=&quot;&quot;" command="SELECT * FROM [whisper_single10_log_auto(1)_(1)]"/>
  </connection>
  <connection id="4" xr16:uid="{2F924E8C-D154-41FA-8E7B-E580A8B08135}" keepAlive="1" name="查询 - whisper_single11_log_auto(1)_(1)" description="与工作簿中“whisper_single11_log_auto(1)_(1)”查询的连接。" type="5" refreshedVersion="8" background="1" saveData="1">
    <dbPr connection="Provider=Microsoft.Mashup.OleDb.1;Data Source=$Workbook$;Location=whisper_single11_log_auto(1)_(1);Extended Properties=&quot;&quot;" command="SELECT * FROM [whisper_single11_log_auto(1)_(1)]"/>
  </connection>
  <connection id="5" xr16:uid="{F20A048A-838C-4CF5-922C-76C047933686}" keepAlive="1" name="查询 - whisper_single12_log_auto(1)_(1)" description="与工作簿中“whisper_single12_log_auto(1)_(1)”查询的连接。" type="5" refreshedVersion="8" background="1" saveData="1">
    <dbPr connection="Provider=Microsoft.Mashup.OleDb.1;Data Source=$Workbook$;Location=whisper_single12_log_auto(1)_(1);Extended Properties=&quot;&quot;" command="SELECT * FROM [whisper_single12_log_auto(1)_(1)]"/>
  </connection>
  <connection id="6" xr16:uid="{767448B5-13C4-4DFD-8044-F0B9B8A2FBF1}" keepAlive="1" name="查询 - whisper_single2_log_auto(1)_(1)" description="与工作簿中“whisper_single2_log_auto(1)_(1)”查询的连接。" type="5" refreshedVersion="8" background="1" saveData="1">
    <dbPr connection="Provider=Microsoft.Mashup.OleDb.1;Data Source=$Workbook$;Location=whisper_single2_log_auto(1)_(1);Extended Properties=&quot;&quot;" command="SELECT * FROM [whisper_single2_log_auto(1)_(1)]"/>
  </connection>
  <connection id="7" xr16:uid="{F58BCB05-AE64-4362-9C73-61BAF68EF462}" keepAlive="1" name="查询 - whisper_single3_log_auto(1)_(1)" description="与工作簿中“whisper_single3_log_auto(1)_(1)”查询的连接。" type="5" refreshedVersion="8" background="1" saveData="1">
    <dbPr connection="Provider=Microsoft.Mashup.OleDb.1;Data Source=$Workbook$;Location=whisper_single3_log_auto(1)_(1);Extended Properties=&quot;&quot;" command="SELECT * FROM [whisper_single3_log_auto(1)_(1)]"/>
  </connection>
  <connection id="8" xr16:uid="{520D28ED-BB89-4CAE-9C65-4FE4621FAD5A}" keepAlive="1" name="查询 - whisper_single4_log_auto(1)_(1)" description="与工作簿中“whisper_single4_log_auto(1)_(1)”查询的连接。" type="5" refreshedVersion="8" background="1" saveData="1">
    <dbPr connection="Provider=Microsoft.Mashup.OleDb.1;Data Source=$Workbook$;Location=whisper_single4_log_auto(1)_(1);Extended Properties=&quot;&quot;" command="SELECT * FROM [whisper_single4_log_auto(1)_(1)]"/>
  </connection>
  <connection id="9" xr16:uid="{AFE4920D-1C9D-4FA2-9499-C25EB7F50904}" keepAlive="1" name="查询 - whisper_single5_log_auto(1)_(1)" description="与工作簿中“whisper_single5_log_auto(1)_(1)”查询的连接。" type="5" refreshedVersion="8" background="1" saveData="1">
    <dbPr connection="Provider=Microsoft.Mashup.OleDb.1;Data Source=$Workbook$;Location=whisper_single5_log_auto(1)_(1);Extended Properties=&quot;&quot;" command="SELECT * FROM [whisper_single5_log_auto(1)_(1)]"/>
  </connection>
  <connection id="10" xr16:uid="{DF61635B-6E08-4701-9A7C-90F78870C6D9}" keepAlive="1" name="查询 - whisper_single6_log_auto(1)_(1)" description="与工作簿中“whisper_single6_log_auto(1)_(1)”查询的连接。" type="5" refreshedVersion="8" background="1" saveData="1">
    <dbPr connection="Provider=Microsoft.Mashup.OleDb.1;Data Source=$Workbook$;Location=whisper_single6_log_auto(1)_(1);Extended Properties=&quot;&quot;" command="SELECT * FROM [whisper_single6_log_auto(1)_(1)]"/>
  </connection>
  <connection id="11" xr16:uid="{F362B7E9-FC83-4C69-94D6-C314631A1873}" keepAlive="1" name="查询 - whisper_single7_log_auto(1)_(1)" description="与工作簿中“whisper_single7_log_auto(1)_(1)”查询的连接。" type="5" refreshedVersion="8" background="1" saveData="1">
    <dbPr connection="Provider=Microsoft.Mashup.OleDb.1;Data Source=$Workbook$;Location=whisper_single7_log_auto(1)_(1);Extended Properties=&quot;&quot;" command="SELECT * FROM [whisper_single7_log_auto(1)_(1)]"/>
  </connection>
  <connection id="12" xr16:uid="{E97E7FC5-4C75-419C-B478-E26C4CA9B1BE}" keepAlive="1" name="查询 - whisper_single8_log_auto(1)_(1)" description="与工作簿中“whisper_single8_log_auto(1)_(1)”查询的连接。" type="5" refreshedVersion="8" background="1" saveData="1">
    <dbPr connection="Provider=Microsoft.Mashup.OleDb.1;Data Source=$Workbook$;Location=whisper_single8_log_auto(1)_(1);Extended Properties=&quot;&quot;" command="SELECT * FROM [whisper_single8_log_auto(1)_(1)]"/>
  </connection>
  <connection id="13" xr16:uid="{AC88A05E-3C27-4E25-9909-5CE0D03BCFAB}" keepAlive="1" name="查询 - whisper_single9_log_auto(1)_(1)" description="与工作簿中“whisper_single9_log_auto(1)_(1)”查询的连接。" type="5" refreshedVersion="8" background="1" saveData="1">
    <dbPr connection="Provider=Microsoft.Mashup.OleDb.1;Data Source=$Workbook$;Location=whisper_single9_log_auto(1)_(1);Extended Properties=&quot;&quot;" command="SELECT * FROM [whisper_single9_log_auto(1)_(1)]"/>
  </connection>
</connections>
</file>

<file path=xl/sharedStrings.xml><?xml version="1.0" encoding="utf-8"?>
<sst xmlns="http://schemas.openxmlformats.org/spreadsheetml/2006/main" count="109" uniqueCount="10">
  <si>
    <t>seed</t>
  </si>
  <si>
    <t>acc_test</t>
  </si>
  <si>
    <t>f1</t>
  </si>
  <si>
    <t>precision</t>
  </si>
  <si>
    <t>recall</t>
  </si>
  <si>
    <t>acc_test_vote</t>
  </si>
  <si>
    <t>f1_vote</t>
  </si>
  <si>
    <t>precision_vote</t>
  </si>
  <si>
    <t>recall_vote</t>
  </si>
  <si>
    <t>NCMMSC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</si>
</sst>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Sheet1!$B$1:$B$12</c:f>
              <c:numCache>
                <c:formatCode>General</c:formatCode>
                <c:ptCount val="12"/>
                <c:pt idx="0">
                  <c:v>0.81848739495798317</c:v>
                </c:pt>
                <c:pt idx="1">
                  <c:v>0.8134453781512605</c:v>
                </c:pt>
                <c:pt idx="2">
                  <c:v>0.84201680672268908</c:v>
                </c:pt>
                <c:pt idx="3">
                  <c:v>0.83193277310924363</c:v>
                </c:pt>
                <c:pt idx="4">
                  <c:v>0.8252100840336134</c:v>
                </c:pt>
                <c:pt idx="5">
                  <c:v>0.81176470588235294</c:v>
                </c:pt>
                <c:pt idx="6">
                  <c:v>0.8369747899159663</c:v>
                </c:pt>
                <c:pt idx="7">
                  <c:v>0.87226890756302533</c:v>
                </c:pt>
                <c:pt idx="8">
                  <c:v>0.87226890756302533</c:v>
                </c:pt>
                <c:pt idx="9">
                  <c:v>0.8890756302521009</c:v>
                </c:pt>
                <c:pt idx="10">
                  <c:v>0.91428571428571426</c:v>
                </c:pt>
                <c:pt idx="11">
                  <c:v>0.91596638655462181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65-4B5A-B2B2-B3F71F981F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6776911"/>
        <c:axId val="930051887"/>
      </c:lineChart>
      <c:catAx>
        <c:axId val="996776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30051887"/>
        <c:crosses val="autoZero"/>
        <c:auto val="1"/>
        <c:lblAlgn val="ctr"/>
        <c:lblOffset val="100"/>
        <c:noMultiLvlLbl val="0"/>
      </c:catAx>
      <c:valAx>
        <c:axId val="930051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9677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5</xdr:row>
      <xdr:rowOff>149225</xdr:rowOff>
    </xdr:from>
    <xdr:to>
      <xdr:col>10</xdr:col>
      <xdr:colOff>492125</xdr:colOff>
      <xdr:row>21</xdr:row>
      <xdr:rowOff>47625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6599A3C-CBB7-ACA6-4253-F083A42D5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46062FB6-E7B5-4988-A434-C64BF5482369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0" xr16:uid="{D1041F31-4495-4EE9-9886-26E7B53D48EF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5E02F26C-35DE-4925-97C3-A392DF567783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3" xr16:uid="{0CAAE273-44A6-47E0-A26F-2482A382C284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97F94667-E36F-48B0-9C63-8FD633E4B808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8F54CED0-6B94-4B20-8F91-34C4660618D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34BD919A-B276-49C8-9039-C2639071DBE4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20B25481-2295-4B8C-87AC-CB69AAD9989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8A4095D0-7705-41FA-83E1-3E6ACB7750E2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635BD5C8-95A8-4A35-827E-B46131DE6851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03347BB-52F4-4B58-823D-7341B2F0B1DC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5BFFFC1B-A428-4533-8196-2E22A16A753A}" autoFormatId="16" applyNumberFormats="0" applyBorderFormats="0" applyFontFormats="0" applyPatternFormats="0" applyAlignmentFormats="0" applyWidthHeightFormats="0">
  <queryTableRefresh nextId="10">
    <queryTableFields count="9">
      <queryTableField id="1" name="seed" tableColumnId="1"/>
      <queryTableField id="2" name="acc_test" tableColumnId="2"/>
      <queryTableField id="3" name="f1" tableColumnId="3"/>
      <queryTableField id="4" name="precision" tableColumnId="4"/>
      <queryTableField id="5" name="recall" tableColumnId="5"/>
      <queryTableField id="6" name="acc_test_vote" tableColumnId="6"/>
      <queryTableField id="7" name="f1_vote" tableColumnId="7"/>
      <queryTableField id="8" name="precision_vote" tableColumnId="8"/>
      <queryTableField id="9" name="recall_vo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A3C12D-241C-4695-A84B-4DAF7A690995}" name="whisper_single11_log_auto_1___1" displayName="whisper_single11_log_auto_1___1" ref="A1:I6" tableType="queryTable" totalsRowShown="0">
  <autoFilter ref="A1:I6" xr:uid="{30A3C12D-241C-4695-A84B-4DAF7A690995}"/>
  <tableColumns count="9">
    <tableColumn id="1" xr3:uid="{484D1A74-2CB3-49F1-9D65-44C1D03B1104}" uniqueName="1" name="seed" queryTableFieldId="1"/>
    <tableColumn id="2" xr3:uid="{2524B45A-A68A-4AD2-83C3-62E0F4419A49}" uniqueName="2" name="acc_test" queryTableFieldId="2"/>
    <tableColumn id="3" xr3:uid="{65BA3FE8-D156-46D7-81CF-18D12A899133}" uniqueName="3" name="f1" queryTableFieldId="3"/>
    <tableColumn id="4" xr3:uid="{A0F54926-873F-47CD-8AA6-8E27E5078DB7}" uniqueName="4" name="precision" queryTableFieldId="4"/>
    <tableColumn id="5" xr3:uid="{9C05963A-97FE-4D8A-B6F6-1C55CB98F6AD}" uniqueName="5" name="recall" queryTableFieldId="5"/>
    <tableColumn id="6" xr3:uid="{9A455807-2101-494D-BA4E-C5843BE292EA}" uniqueName="6" name="acc_test_vote" queryTableFieldId="6"/>
    <tableColumn id="7" xr3:uid="{ABB39CEB-C239-4E64-9387-3AD18EFA63F5}" uniqueName="7" name="f1_vote" queryTableFieldId="7"/>
    <tableColumn id="8" xr3:uid="{3975CA24-7BCD-4D2C-901C-F2B5983EF49F}" uniqueName="8" name="precision_vote" queryTableFieldId="8"/>
    <tableColumn id="9" xr3:uid="{1CE103DE-6AEA-432D-8A2A-71AF4AA3A21B}" uniqueName="9" name="recall_vote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45BB5BA-0F90-450E-BB35-058B1E4F7EBF}" name="whisper_single6_log_auto_1___1" displayName="whisper_single6_log_auto_1___1" ref="A1:I6" tableType="queryTable" totalsRowShown="0">
  <autoFilter ref="A1:I6" xr:uid="{B45BB5BA-0F90-450E-BB35-058B1E4F7EBF}"/>
  <tableColumns count="9">
    <tableColumn id="1" xr3:uid="{A507C8FA-BB7C-469D-9604-1908EC8B534A}" uniqueName="1" name="seed" queryTableFieldId="1"/>
    <tableColumn id="2" xr3:uid="{DDC2E1F8-4EC3-48DB-9362-D8D880B82F64}" uniqueName="2" name="acc_test" queryTableFieldId="2"/>
    <tableColumn id="3" xr3:uid="{CBF02018-9D90-4EAB-B2AF-5C1A7E2A0EC4}" uniqueName="3" name="f1" queryTableFieldId="3"/>
    <tableColumn id="4" xr3:uid="{B5F7E71E-C02A-4E59-9CD5-1CFF1F9EB9C1}" uniqueName="4" name="precision" queryTableFieldId="4"/>
    <tableColumn id="5" xr3:uid="{1A108C8F-1B57-41BD-8047-5D6CE6E411F9}" uniqueName="5" name="recall" queryTableFieldId="5"/>
    <tableColumn id="6" xr3:uid="{3B2166C6-68F9-4C9F-B275-E42E4CFAC158}" uniqueName="6" name="acc_test_vote" queryTableFieldId="6"/>
    <tableColumn id="7" xr3:uid="{DC6754C5-D82A-4E69-B9C7-533C7C14E250}" uniqueName="7" name="f1_vote" queryTableFieldId="7"/>
    <tableColumn id="8" xr3:uid="{B2F9CE8D-94E5-4BE8-A145-66DA4E73F7A9}" uniqueName="8" name="precision_vote" queryTableFieldId="8"/>
    <tableColumn id="9" xr3:uid="{EB3ECC37-919B-4565-B871-F762C6E90149}" uniqueName="9" name="recall_vote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CB450F-9910-452B-96F7-9B831063E6D8}" name="whisper_single7_log_auto_1___1" displayName="whisper_single7_log_auto_1___1" ref="A1:I6" tableType="queryTable" totalsRowShown="0">
  <autoFilter ref="A1:I6" xr:uid="{CBCB450F-9910-452B-96F7-9B831063E6D8}"/>
  <tableColumns count="9">
    <tableColumn id="1" xr3:uid="{EC41DEF1-0EAE-4544-9009-EB2083BB0684}" uniqueName="1" name="seed" queryTableFieldId="1"/>
    <tableColumn id="2" xr3:uid="{D5DEA240-146E-49B2-8114-942BE64833A1}" uniqueName="2" name="acc_test" queryTableFieldId="2"/>
    <tableColumn id="3" xr3:uid="{20AD89AF-949C-4DB5-95BB-BB18737E0600}" uniqueName="3" name="f1" queryTableFieldId="3"/>
    <tableColumn id="4" xr3:uid="{C6E6D08D-C748-4852-8A51-FFA0BB42B3D5}" uniqueName="4" name="precision" queryTableFieldId="4"/>
    <tableColumn id="5" xr3:uid="{AA9CA2B2-138C-4754-8B32-172B34B5C5E8}" uniqueName="5" name="recall" queryTableFieldId="5"/>
    <tableColumn id="6" xr3:uid="{4572F4FC-4BC3-4BC0-9855-604D6D440EB1}" uniqueName="6" name="acc_test_vote" queryTableFieldId="6"/>
    <tableColumn id="7" xr3:uid="{55C6D1FD-F3F2-4CC3-9333-B3C5E72A9698}" uniqueName="7" name="f1_vote" queryTableFieldId="7"/>
    <tableColumn id="8" xr3:uid="{FCF31098-FF99-49E2-9E06-2E711FBAC073}" uniqueName="8" name="precision_vote" queryTableFieldId="8"/>
    <tableColumn id="9" xr3:uid="{0A674131-A50F-4162-844C-F7485420E3C2}" uniqueName="9" name="recall_vot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9C29E5-C2CE-400F-BAB3-CA4D990450FB}" name="whisper_single9_log_auto_1___1" displayName="whisper_single9_log_auto_1___1" ref="A1:I6" tableType="queryTable" totalsRowShown="0">
  <autoFilter ref="A1:I6" xr:uid="{809C29E5-C2CE-400F-BAB3-CA4D990450FB}"/>
  <tableColumns count="9">
    <tableColumn id="1" xr3:uid="{8B998FAB-C352-4C7F-981B-82251AB017D1}" uniqueName="1" name="seed" queryTableFieldId="1"/>
    <tableColumn id="2" xr3:uid="{652364F6-1C09-46F3-B5A7-29556604A4A4}" uniqueName="2" name="acc_test" queryTableFieldId="2"/>
    <tableColumn id="3" xr3:uid="{67DC3F6E-00ED-4772-ADB0-E95A8231F396}" uniqueName="3" name="f1" queryTableFieldId="3"/>
    <tableColumn id="4" xr3:uid="{BE716ABD-0613-4C78-9B6A-B656DF7EED04}" uniqueName="4" name="precision" queryTableFieldId="4"/>
    <tableColumn id="5" xr3:uid="{14568031-77DC-489D-A03C-F14DB4A92B92}" uniqueName="5" name="recall" queryTableFieldId="5"/>
    <tableColumn id="6" xr3:uid="{966A8F9C-817F-472F-93DA-ADEDD9AA4A88}" uniqueName="6" name="acc_test_vote" queryTableFieldId="6"/>
    <tableColumn id="7" xr3:uid="{0F0AE964-041E-44A3-A94D-91C2F1F80E1A}" uniqueName="7" name="f1_vote" queryTableFieldId="7"/>
    <tableColumn id="8" xr3:uid="{F44BE228-A513-42ED-9551-8FFA85BC8FA7}" uniqueName="8" name="precision_vote" queryTableFieldId="8"/>
    <tableColumn id="9" xr3:uid="{74D58B09-2AB1-45AB-B8D7-3BD331750BCB}" uniqueName="9" name="recall_vote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BDB625-4A04-41EC-99EF-CC33E393004F}" name="whisper_single10_log_auto_1___1" displayName="whisper_single10_log_auto_1___1" ref="A1:I6" tableType="queryTable" totalsRowShown="0">
  <autoFilter ref="A1:I6" xr:uid="{E7BDB625-4A04-41EC-99EF-CC33E393004F}"/>
  <tableColumns count="9">
    <tableColumn id="1" xr3:uid="{3BA419E9-A2B5-4FCE-9CF0-93BFC2F7AB0D}" uniqueName="1" name="seed" queryTableFieldId="1"/>
    <tableColumn id="2" xr3:uid="{8256E72F-41A9-48E1-AAB2-3999C542AB1B}" uniqueName="2" name="acc_test" queryTableFieldId="2"/>
    <tableColumn id="3" xr3:uid="{C8C2C837-0AFD-4825-BA6F-BB870F2B7EE6}" uniqueName="3" name="f1" queryTableFieldId="3"/>
    <tableColumn id="4" xr3:uid="{42C72EB6-AEAF-468E-892E-BDD5E8E504B1}" uniqueName="4" name="precision" queryTableFieldId="4"/>
    <tableColumn id="5" xr3:uid="{8485040E-D37E-4C5B-801D-12A65B9EB7F9}" uniqueName="5" name="recall" queryTableFieldId="5"/>
    <tableColumn id="6" xr3:uid="{03F50DD9-9178-4BA3-9CD7-E3F30A759E89}" uniqueName="6" name="acc_test_vote" queryTableFieldId="6"/>
    <tableColumn id="7" xr3:uid="{EDCD599D-8FE2-4B0E-9723-D1B47068DFCD}" uniqueName="7" name="f1_vote" queryTableFieldId="7"/>
    <tableColumn id="8" xr3:uid="{4566438B-B588-417D-B0A4-B8A2972680CB}" uniqueName="8" name="precision_vote" queryTableFieldId="8"/>
    <tableColumn id="9" xr3:uid="{1EE1C472-E956-4B6E-82B3-A123264A68B6}" uniqueName="9" name="recall_vote" queryTableFieldId="9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2A23AC-4AE4-4E63-9526-1FF001490128}" name="whisper_single12_log_auto_1___1" displayName="whisper_single12_log_auto_1___1" ref="A1:I6" tableType="queryTable" totalsRowShown="0">
  <autoFilter ref="A1:I6" xr:uid="{7A2A23AC-4AE4-4E63-9526-1FF001490128}"/>
  <tableColumns count="9">
    <tableColumn id="1" xr3:uid="{0EE1BB6C-8EE3-4E80-AA8C-C9E90D6C521C}" uniqueName="1" name="seed" queryTableFieldId="1"/>
    <tableColumn id="2" xr3:uid="{3E241B2A-C8A3-4200-8B95-8BD516439DD1}" uniqueName="2" name="acc_test" queryTableFieldId="2"/>
    <tableColumn id="3" xr3:uid="{49445A43-20BA-4EE0-8A61-F84CC28E524A}" uniqueName="3" name="f1" queryTableFieldId="3"/>
    <tableColumn id="4" xr3:uid="{5A41B166-46CD-48E4-84BB-0B400C97DB89}" uniqueName="4" name="precision" queryTableFieldId="4"/>
    <tableColumn id="5" xr3:uid="{1028274D-2602-4333-8D1F-D6CD4C3AFF3A}" uniqueName="5" name="recall" queryTableFieldId="5"/>
    <tableColumn id="6" xr3:uid="{CA88D21F-C3A2-4BBD-A0E6-85A003CFD7A5}" uniqueName="6" name="acc_test_vote" queryTableFieldId="6"/>
    <tableColumn id="7" xr3:uid="{3256FA90-A111-4E8C-8DDE-82BA8B403F22}" uniqueName="7" name="f1_vote" queryTableFieldId="7"/>
    <tableColumn id="8" xr3:uid="{DC80AA07-D37B-4448-9EEB-45C75B77527E}" uniqueName="8" name="precision_vote" queryTableFieldId="8"/>
    <tableColumn id="9" xr3:uid="{C747540C-48EC-41E2-B628-7F225C4B1C0E}" uniqueName="9" name="recall_vote" queryTableFieldId="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22A6556-9B1A-4759-8627-0E20CC32638F}" name="whisper_single3_log_auto_1___1" displayName="whisper_single3_log_auto_1___1" ref="A1:I6" tableType="queryTable" totalsRowShown="0">
  <autoFilter ref="A1:I6" xr:uid="{122A6556-9B1A-4759-8627-0E20CC32638F}"/>
  <tableColumns count="9">
    <tableColumn id="1" xr3:uid="{CDA98B4D-9BB8-4B09-B6D8-6EEE930F03B2}" uniqueName="1" name="seed" queryTableFieldId="1"/>
    <tableColumn id="2" xr3:uid="{177E3DA4-29FD-4EB4-8867-BB0D15D529C0}" uniqueName="2" name="acc_test" queryTableFieldId="2"/>
    <tableColumn id="3" xr3:uid="{51CF348A-7BFB-48EC-B4CB-35D2AE1EEF70}" uniqueName="3" name="f1" queryTableFieldId="3"/>
    <tableColumn id="4" xr3:uid="{77EFBB78-6410-4420-B065-AA28F87DC723}" uniqueName="4" name="precision" queryTableFieldId="4"/>
    <tableColumn id="5" xr3:uid="{D9753D35-3489-4EDE-BB1F-995C6154F414}" uniqueName="5" name="recall" queryTableFieldId="5"/>
    <tableColumn id="6" xr3:uid="{6A2310BD-01A8-4C19-BEAA-77C92668712F}" uniqueName="6" name="acc_test_vote" queryTableFieldId="6"/>
    <tableColumn id="7" xr3:uid="{60313CBA-127F-44D3-887F-E1E79B6F3FEC}" uniqueName="7" name="f1_vote" queryTableFieldId="7"/>
    <tableColumn id="8" xr3:uid="{E2C26A5F-9D0A-4A13-9802-512AA81DBC10}" uniqueName="8" name="precision_vote" queryTableFieldId="8"/>
    <tableColumn id="9" xr3:uid="{C7D2D304-0CD7-4A20-A61B-63B668D410AE}" uniqueName="9" name="recall_vote" queryTableFieldId="9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8973C59-24AF-415F-B3DF-4D30CBB7E50C}" name="whisper_single4_log_auto_1___1" displayName="whisper_single4_log_auto_1___1" ref="A1:I6" tableType="queryTable" totalsRowShown="0">
  <autoFilter ref="A1:I6" xr:uid="{18973C59-24AF-415F-B3DF-4D30CBB7E50C}"/>
  <tableColumns count="9">
    <tableColumn id="1" xr3:uid="{C79E1EF8-FCEE-424B-BCCE-8C50033C88D3}" uniqueName="1" name="seed" queryTableFieldId="1"/>
    <tableColumn id="2" xr3:uid="{1FB1E0A9-CC6C-49A6-90B1-55FD9FE4A3E9}" uniqueName="2" name="acc_test" queryTableFieldId="2"/>
    <tableColumn id="3" xr3:uid="{C274BB72-5979-46FB-8A96-209CCBB95E17}" uniqueName="3" name="f1" queryTableFieldId="3"/>
    <tableColumn id="4" xr3:uid="{1E9DBF46-61F7-4D02-B2D0-65BE05276833}" uniqueName="4" name="precision" queryTableFieldId="4"/>
    <tableColumn id="5" xr3:uid="{F9C341A5-BAB9-4DB4-8C7C-4B57B9881385}" uniqueName="5" name="recall" queryTableFieldId="5"/>
    <tableColumn id="6" xr3:uid="{BF3D9CE7-5BA2-40AC-9892-027066EDE4AD}" uniqueName="6" name="acc_test_vote" queryTableFieldId="6"/>
    <tableColumn id="7" xr3:uid="{FD213A5C-3C8D-4026-8D53-38297D6A1DEE}" uniqueName="7" name="f1_vote" queryTableFieldId="7"/>
    <tableColumn id="8" xr3:uid="{D07DF276-D7FE-416B-836E-A41B09AABF47}" uniqueName="8" name="precision_vote" queryTableFieldId="8"/>
    <tableColumn id="9" xr3:uid="{F51D1B5A-E53A-45C1-91BC-96C9B179B9E9}" uniqueName="9" name="recall_vote" queryTableFieldId="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C25593-B1E1-4453-B160-52EB420CCA14}" name="whisper_single5_log_auto_1___1" displayName="whisper_single5_log_auto_1___1" ref="A1:I6" tableType="queryTable" totalsRowShown="0">
  <autoFilter ref="A1:I6" xr:uid="{D9C25593-B1E1-4453-B160-52EB420CCA14}"/>
  <tableColumns count="9">
    <tableColumn id="1" xr3:uid="{4F28613D-7DCD-4B45-877D-E89F5892B58E}" uniqueName="1" name="seed" queryTableFieldId="1"/>
    <tableColumn id="2" xr3:uid="{B516A516-6C82-471A-A0E8-C3CED8A703AD}" uniqueName="2" name="acc_test" queryTableFieldId="2"/>
    <tableColumn id="3" xr3:uid="{524C881A-9BC6-4755-AF84-AC33B6798118}" uniqueName="3" name="f1" queryTableFieldId="3"/>
    <tableColumn id="4" xr3:uid="{61C8B691-348C-430B-BF5F-B938A21A6876}" uniqueName="4" name="precision" queryTableFieldId="4"/>
    <tableColumn id="5" xr3:uid="{01E8F706-209F-4113-8A89-2AE9CA693C09}" uniqueName="5" name="recall" queryTableFieldId="5"/>
    <tableColumn id="6" xr3:uid="{AA8E0A07-8E8B-4060-8434-BDF0248775AD}" uniqueName="6" name="acc_test_vote" queryTableFieldId="6"/>
    <tableColumn id="7" xr3:uid="{5689DBD3-A001-42A5-848A-70D2320E695D}" uniqueName="7" name="f1_vote" queryTableFieldId="7"/>
    <tableColumn id="8" xr3:uid="{A115E100-2882-4560-AB48-D4631D03E03A}" uniqueName="8" name="precision_vote" queryTableFieldId="8"/>
    <tableColumn id="9" xr3:uid="{F5729122-6C94-42AA-B219-6C7AECA4693B}" uniqueName="9" name="recall_vote" queryTableFieldId="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03AE774-FB72-4182-864E-E5FEF86F0598}" name="whisper_single8_log_auto_1___1" displayName="whisper_single8_log_auto_1___1" ref="A1:I7" tableType="queryTable" totalsRowCount="1">
  <autoFilter ref="A1:I6" xr:uid="{A03AE774-FB72-4182-864E-E5FEF86F0598}"/>
  <tableColumns count="9">
    <tableColumn id="1" xr3:uid="{7959E801-9F45-4CBA-AD42-69191CA2E4E0}" uniqueName="1" name="seed" queryTableFieldId="1"/>
    <tableColumn id="2" xr3:uid="{20C859E9-5EE5-41B1-AADF-4973F07B7485}" uniqueName="2" name="acc_test" totalsRowFunction="average" queryTableFieldId="2"/>
    <tableColumn id="3" xr3:uid="{5EADB3C6-249F-473C-894E-773E968A1179}" uniqueName="3" name="f1" totalsRowFunction="average" queryTableFieldId="3"/>
    <tableColumn id="4" xr3:uid="{C0EEC8DE-9FD4-480E-8C3B-1B62DE7ABBA5}" uniqueName="4" name="precision" totalsRowFunction="average" queryTableFieldId="4"/>
    <tableColumn id="5" xr3:uid="{B2FDCF53-2DDD-453A-A9AC-2A47288962D5}" uniqueName="5" name="recall" totalsRowFunction="average" queryTableFieldId="5"/>
    <tableColumn id="6" xr3:uid="{5B093AB7-1E1F-498F-93AB-D55C7DF9479C}" uniqueName="6" name="acc_test_vote" totalsRowFunction="average" queryTableFieldId="6"/>
    <tableColumn id="7" xr3:uid="{C4F5399D-354D-40CF-8491-915939912CCF}" uniqueName="7" name="f1_vote" totalsRowFunction="average" queryTableFieldId="7"/>
    <tableColumn id="8" xr3:uid="{25195EBA-3D42-4EA2-9A85-6606C1D65670}" uniqueName="8" name="precision_vote" totalsRowFunction="average" queryTableFieldId="8"/>
    <tableColumn id="9" xr3:uid="{29A25B3B-4AB2-4FAC-90EE-5394061BA248}" uniqueName="9" name="recall_vote" totalsRowFunction="average" queryTableFieldId="9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7F48D4B-DBF9-4DDC-B555-E96E0163C541}" name="whisper_single1_log_auto_1___1" displayName="whisper_single1_log_auto_1___1" ref="A1:I7" tableType="queryTable" totalsRowCount="1">
  <autoFilter ref="A1:I6" xr:uid="{C7F48D4B-DBF9-4DDC-B555-E96E0163C541}"/>
  <tableColumns count="9">
    <tableColumn id="1" xr3:uid="{E16DBCBA-B702-41C2-A8E7-0FCAB3275DF8}" uniqueName="1" name="seed" queryTableFieldId="1"/>
    <tableColumn id="2" xr3:uid="{DA640BE6-DA30-475F-99FD-DFC7C76E4491}" uniqueName="2" name="acc_test" totalsRowFunction="average" queryTableFieldId="2"/>
    <tableColumn id="3" xr3:uid="{6EFC6859-898D-4401-B335-1785B3533F54}" uniqueName="3" name="f1" totalsRowFunction="average" queryTableFieldId="3"/>
    <tableColumn id="4" xr3:uid="{B80D6EA2-5B22-4BE3-BDA6-7F7D6E5A3828}" uniqueName="4" name="precision" totalsRowFunction="average" queryTableFieldId="4"/>
    <tableColumn id="5" xr3:uid="{4F2505FE-AAC4-4B27-A503-5E191A9964BF}" uniqueName="5" name="recall" totalsRowFunction="average" queryTableFieldId="5"/>
    <tableColumn id="6" xr3:uid="{3491AE9D-A479-41A8-8FA4-A9EB7C7A2A9F}" uniqueName="6" name="acc_test_vote" totalsRowFunction="average" queryTableFieldId="6"/>
    <tableColumn id="7" xr3:uid="{0ECB26B5-C785-48DF-A976-CF895F0B2521}" uniqueName="7" name="f1_vote" totalsRowFunction="average" queryTableFieldId="7"/>
    <tableColumn id="8" xr3:uid="{9D2B98B1-FDB6-4E97-9AC5-BE1632007F18}" uniqueName="8" name="precision_vote" totalsRowFunction="average" queryTableFieldId="8"/>
    <tableColumn id="9" xr3:uid="{677998A9-702D-4F62-B5DC-B0FE56FB1BD7}" uniqueName="9" name="recall_vote" totalsRowFunction="average" queryTableFieldId="9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0CA4380-CAD3-4995-89DE-519301A77598}" name="whisper_single2_log_auto_1___1" displayName="whisper_single2_log_auto_1___1" ref="A1:I7" tableType="queryTable" totalsRowCount="1">
  <autoFilter ref="A1:I6" xr:uid="{10CA4380-CAD3-4995-89DE-519301A77598}"/>
  <tableColumns count="9">
    <tableColumn id="1" xr3:uid="{BFF1826D-0031-4255-B8C5-F1D8B3CCEC46}" uniqueName="1" name="seed" queryTableFieldId="1"/>
    <tableColumn id="2" xr3:uid="{9F604C28-EB4D-4880-88EA-F12184361913}" uniqueName="2" name="acc_test" totalsRowFunction="average" queryTableFieldId="2"/>
    <tableColumn id="3" xr3:uid="{2F42C315-7AC0-4791-A7C6-D695A354F9C7}" uniqueName="3" name="f1" totalsRowFunction="average" queryTableFieldId="3"/>
    <tableColumn id="4" xr3:uid="{6EFE5B36-BC57-45CC-BA4A-90ABD19B30E6}" uniqueName="4" name="precision" totalsRowFunction="average" queryTableFieldId="4"/>
    <tableColumn id="5" xr3:uid="{9FC962D9-FC65-4602-9685-E2CD2D73371E}" uniqueName="5" name="recall" totalsRowFunction="average" queryTableFieldId="5"/>
    <tableColumn id="6" xr3:uid="{EC93FCBA-CCAB-4328-9A2D-921B4882D8EE}" uniqueName="6" name="acc_test_vote" totalsRowFunction="average" queryTableFieldId="6"/>
    <tableColumn id="7" xr3:uid="{64CC88F8-9853-4F37-A7FD-F89724924FC2}" uniqueName="7" name="f1_vote" totalsRowFunction="average" queryTableFieldId="7"/>
    <tableColumn id="8" xr3:uid="{EC0286A2-AF2B-4C29-A4FB-822D7F77879D}" uniqueName="8" name="precision_vote" totalsRowFunction="average" queryTableFieldId="8"/>
    <tableColumn id="9" xr3:uid="{58544EFA-BA68-4D5C-8610-DF9CCB75B21C}" uniqueName="9" name="recall_vote" totalsRowFunction="averag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413B8-0EC7-476E-BA0D-746EA7D85F03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0.89075630252100846</v>
      </c>
      <c r="C2">
        <v>0.91156462585034004</v>
      </c>
      <c r="D2">
        <v>0.9178082191780822</v>
      </c>
      <c r="E2">
        <v>0.90540540540540537</v>
      </c>
      <c r="F2">
        <v>0.88235294117647056</v>
      </c>
      <c r="G2">
        <v>0.90277777777777779</v>
      </c>
      <c r="H2">
        <v>0.9285714285714286</v>
      </c>
      <c r="I2">
        <v>0.8783783783783784</v>
      </c>
    </row>
    <row r="3" spans="1:9" x14ac:dyDescent="0.3">
      <c r="A3">
        <v>1002</v>
      </c>
      <c r="B3">
        <v>0.93277310924369761</v>
      </c>
      <c r="C3">
        <v>0.94805194805194803</v>
      </c>
      <c r="D3">
        <v>0.91249999999999998</v>
      </c>
      <c r="E3">
        <v>0.9864864864864864</v>
      </c>
      <c r="F3">
        <v>0.93277310924369761</v>
      </c>
      <c r="G3">
        <v>0.94736842105263164</v>
      </c>
      <c r="H3">
        <v>0.92307692307692324</v>
      </c>
      <c r="I3">
        <v>0.97297297297297303</v>
      </c>
    </row>
    <row r="4" spans="1:9" x14ac:dyDescent="0.3">
      <c r="A4">
        <v>1003</v>
      </c>
      <c r="B4">
        <v>0.9243697478991596</v>
      </c>
      <c r="C4">
        <v>0.94117647058823517</v>
      </c>
      <c r="D4">
        <v>0.91139240506329122</v>
      </c>
      <c r="E4">
        <v>0.97297297297297303</v>
      </c>
      <c r="F4">
        <v>0.9243697478991596</v>
      </c>
      <c r="G4">
        <v>0.94117647058823517</v>
      </c>
      <c r="H4">
        <v>0.91139240506329122</v>
      </c>
      <c r="I4">
        <v>0.97297297297297303</v>
      </c>
    </row>
    <row r="5" spans="1:9" x14ac:dyDescent="0.3">
      <c r="A5">
        <v>1004</v>
      </c>
      <c r="B5">
        <v>0.89915966386554624</v>
      </c>
      <c r="C5">
        <v>0.92105263157894723</v>
      </c>
      <c r="D5">
        <v>0.89743589743589747</v>
      </c>
      <c r="E5">
        <v>0.94594594594594605</v>
      </c>
      <c r="F5">
        <v>0.89915966386554624</v>
      </c>
      <c r="G5">
        <v>0.92105263157894723</v>
      </c>
      <c r="H5">
        <v>0.89743589743589747</v>
      </c>
      <c r="I5">
        <v>0.94594594594594605</v>
      </c>
    </row>
    <row r="6" spans="1:9" x14ac:dyDescent="0.3">
      <c r="A6">
        <v>1005</v>
      </c>
      <c r="B6">
        <v>0.9327731092436975</v>
      </c>
      <c r="C6">
        <v>0.94805194805194803</v>
      </c>
      <c r="D6">
        <v>0.91249999999999998</v>
      </c>
      <c r="E6">
        <v>0.98648648648648651</v>
      </c>
      <c r="F6">
        <v>0.9327731092436975</v>
      </c>
      <c r="G6">
        <v>0.94736842105263153</v>
      </c>
      <c r="H6">
        <v>0.92307692307692313</v>
      </c>
      <c r="I6">
        <v>0.97297297297297303</v>
      </c>
    </row>
    <row r="7" spans="1:9" x14ac:dyDescent="0.3">
      <c r="B7">
        <f>AVERAGE(B2:B6)</f>
        <v>0.91596638655462181</v>
      </c>
      <c r="C7">
        <f t="shared" ref="C7:I7" si="0">AVERAGE(C2:C6)</f>
        <v>0.9339795248242837</v>
      </c>
      <c r="D7">
        <f t="shared" si="0"/>
        <v>0.91032730433545406</v>
      </c>
      <c r="E7">
        <f t="shared" si="0"/>
        <v>0.95945945945945943</v>
      </c>
      <c r="F7">
        <f t="shared" si="0"/>
        <v>0.91428571428571426</v>
      </c>
      <c r="G7">
        <f t="shared" si="0"/>
        <v>0.93194874441004472</v>
      </c>
      <c r="H7">
        <f t="shared" si="0"/>
        <v>0.91671071544489258</v>
      </c>
      <c r="I7">
        <f t="shared" si="0"/>
        <v>0.94864864864864873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5EAD0-451E-4E46-B2FF-854E8D92A296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0.84033613445378152</v>
      </c>
      <c r="C2">
        <v>0.87074829931972786</v>
      </c>
      <c r="D2">
        <v>0.87671232876712324</v>
      </c>
      <c r="E2">
        <v>0.86486486486486491</v>
      </c>
      <c r="F2">
        <v>0.83193277310924374</v>
      </c>
      <c r="G2">
        <v>0.86486486486486491</v>
      </c>
      <c r="H2">
        <v>0.86486486486486491</v>
      </c>
      <c r="I2">
        <v>0.86486486486486491</v>
      </c>
    </row>
    <row r="3" spans="1:9" x14ac:dyDescent="0.3">
      <c r="A3">
        <v>1002</v>
      </c>
      <c r="B3">
        <v>0.84033613445378152</v>
      </c>
      <c r="C3">
        <v>0.8741721854304636</v>
      </c>
      <c r="D3">
        <v>0.8571428571428571</v>
      </c>
      <c r="E3">
        <v>0.89189189189189189</v>
      </c>
      <c r="F3">
        <v>0.83193277310924374</v>
      </c>
      <c r="G3">
        <v>0.8666666666666667</v>
      </c>
      <c r="H3">
        <v>0.85526315789473684</v>
      </c>
      <c r="I3">
        <v>0.8783783783783784</v>
      </c>
    </row>
    <row r="4" spans="1:9" x14ac:dyDescent="0.3">
      <c r="A4">
        <v>1003</v>
      </c>
      <c r="B4">
        <v>0.79831932773109249</v>
      </c>
      <c r="C4">
        <v>0.83333333333333337</v>
      </c>
      <c r="D4">
        <v>0.8571428571428571</v>
      </c>
      <c r="E4">
        <v>0.81081081081081086</v>
      </c>
      <c r="F4">
        <v>0.78151260504201681</v>
      </c>
      <c r="G4">
        <v>0.81690140845070425</v>
      </c>
      <c r="H4">
        <v>0.8529411764705882</v>
      </c>
      <c r="I4">
        <v>0.78378378378378377</v>
      </c>
    </row>
    <row r="5" spans="1:9" x14ac:dyDescent="0.3">
      <c r="A5">
        <v>1004</v>
      </c>
      <c r="B5">
        <v>0.79831932773109249</v>
      </c>
      <c r="C5">
        <v>0.83098591549295775</v>
      </c>
      <c r="D5">
        <v>0.86764705882352944</v>
      </c>
      <c r="E5">
        <v>0.79729729729729726</v>
      </c>
      <c r="F5">
        <v>0.80672268907563027</v>
      </c>
      <c r="G5">
        <v>0.83916083916083917</v>
      </c>
      <c r="H5">
        <v>0.86956521739130432</v>
      </c>
      <c r="I5">
        <v>0.81081081081081086</v>
      </c>
    </row>
    <row r="6" spans="1:9" x14ac:dyDescent="0.3">
      <c r="A6">
        <v>1005</v>
      </c>
      <c r="B6">
        <v>0.81512605042016806</v>
      </c>
      <c r="C6">
        <v>0.84931506849315064</v>
      </c>
      <c r="D6">
        <v>0.86111111111111116</v>
      </c>
      <c r="E6">
        <v>0.83783783783783783</v>
      </c>
      <c r="F6">
        <v>0.80672268907563027</v>
      </c>
      <c r="G6">
        <v>0.8413793103448276</v>
      </c>
      <c r="H6">
        <v>0.85915492957746475</v>
      </c>
      <c r="I6">
        <v>0.82432432432432434</v>
      </c>
    </row>
    <row r="7" spans="1:9" x14ac:dyDescent="0.3">
      <c r="B7">
        <f>AVERAGE(B2:B6)</f>
        <v>0.81848739495798317</v>
      </c>
      <c r="C7">
        <f t="shared" ref="C7:I7" si="0">AVERAGE(C2:C6)</f>
        <v>0.85171096041392658</v>
      </c>
      <c r="D7">
        <f t="shared" si="0"/>
        <v>0.86395124259749567</v>
      </c>
      <c r="E7">
        <f t="shared" si="0"/>
        <v>0.8405405405405405</v>
      </c>
      <c r="F7">
        <f t="shared" si="0"/>
        <v>0.81176470588235294</v>
      </c>
      <c r="G7">
        <f t="shared" si="0"/>
        <v>0.84579461789758059</v>
      </c>
      <c r="H7">
        <f t="shared" si="0"/>
        <v>0.86035786923979174</v>
      </c>
      <c r="I7">
        <f t="shared" si="0"/>
        <v>0.83243243243243248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D14BA-878A-4E60-8383-E01A566E023A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0.84873949579831931</v>
      </c>
      <c r="C2">
        <v>0.875</v>
      </c>
      <c r="D2">
        <v>0.9</v>
      </c>
      <c r="E2">
        <v>0.85135135135135132</v>
      </c>
      <c r="F2">
        <v>0.83193277310924374</v>
      </c>
      <c r="G2">
        <v>0.86111111111111116</v>
      </c>
      <c r="H2">
        <v>0.88571428571428568</v>
      </c>
      <c r="I2">
        <v>0.83783783783783783</v>
      </c>
    </row>
    <row r="3" spans="1:9" x14ac:dyDescent="0.3">
      <c r="A3">
        <v>1002</v>
      </c>
      <c r="B3">
        <v>0.84873949579831931</v>
      </c>
      <c r="C3">
        <v>0.87142857142857144</v>
      </c>
      <c r="D3">
        <v>0.9242424242424242</v>
      </c>
      <c r="E3">
        <v>0.82432432432432434</v>
      </c>
      <c r="F3">
        <v>0.83193277310924374</v>
      </c>
      <c r="G3">
        <v>0.85507246376811596</v>
      </c>
      <c r="H3">
        <v>0.921875</v>
      </c>
      <c r="I3">
        <v>0.79729729729729726</v>
      </c>
    </row>
    <row r="4" spans="1:9" x14ac:dyDescent="0.3">
      <c r="A4">
        <v>1003</v>
      </c>
      <c r="B4">
        <v>0.8571428571428571</v>
      </c>
      <c r="C4">
        <v>0.87769784172661869</v>
      </c>
      <c r="D4">
        <v>0.93846153846153835</v>
      </c>
      <c r="E4">
        <v>0.82432432432432434</v>
      </c>
      <c r="F4">
        <v>0.84873949579831931</v>
      </c>
      <c r="G4">
        <v>0.86956521739130432</v>
      </c>
      <c r="H4">
        <v>0.9375</v>
      </c>
      <c r="I4">
        <v>0.81081081081081086</v>
      </c>
    </row>
    <row r="5" spans="1:9" x14ac:dyDescent="0.3">
      <c r="A5">
        <v>1004</v>
      </c>
      <c r="B5">
        <v>0.81512605042016806</v>
      </c>
      <c r="C5">
        <v>0.84722222222222221</v>
      </c>
      <c r="D5">
        <v>0.87142857142857144</v>
      </c>
      <c r="E5">
        <v>0.82432432432432434</v>
      </c>
      <c r="F5">
        <v>0.82352941176470584</v>
      </c>
      <c r="G5">
        <v>0.85517241379310349</v>
      </c>
      <c r="H5">
        <v>0.87323943661971826</v>
      </c>
      <c r="I5">
        <v>0.83783783783783783</v>
      </c>
    </row>
    <row r="6" spans="1:9" x14ac:dyDescent="0.3">
      <c r="A6">
        <v>1005</v>
      </c>
      <c r="B6">
        <v>0.86554621848739499</v>
      </c>
      <c r="C6">
        <v>0.89473684210526316</v>
      </c>
      <c r="D6">
        <v>0.87179487179487181</v>
      </c>
      <c r="E6">
        <v>0.91891891891891897</v>
      </c>
      <c r="F6">
        <v>0.84873949579831931</v>
      </c>
      <c r="G6">
        <v>0.88157894736842102</v>
      </c>
      <c r="H6">
        <v>0.85897435897435892</v>
      </c>
      <c r="I6">
        <v>0.90540540540540537</v>
      </c>
    </row>
    <row r="7" spans="1:9" x14ac:dyDescent="0.3">
      <c r="B7">
        <f>AVERAGE(B2:B6)</f>
        <v>0.84705882352941164</v>
      </c>
      <c r="C7">
        <f t="shared" ref="C7:I7" si="0">AVERAGE(C2:C6)</f>
        <v>0.87321709549653515</v>
      </c>
      <c r="D7">
        <f t="shared" si="0"/>
        <v>0.90118548118548103</v>
      </c>
      <c r="E7">
        <f t="shared" si="0"/>
        <v>0.84864864864864875</v>
      </c>
      <c r="F7">
        <f t="shared" si="0"/>
        <v>0.8369747899159663</v>
      </c>
      <c r="G7">
        <f t="shared" si="0"/>
        <v>0.86450003068641124</v>
      </c>
      <c r="H7">
        <f t="shared" si="0"/>
        <v>0.8954606162616725</v>
      </c>
      <c r="I7">
        <f t="shared" si="0"/>
        <v>0.83783783783783794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FED0-0BEE-4B75-BF50-509172EA683E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0.87394957983193278</v>
      </c>
      <c r="C2">
        <v>0.90196078431372562</v>
      </c>
      <c r="D2">
        <v>0.87341772151898733</v>
      </c>
      <c r="E2">
        <v>0.93243243243243235</v>
      </c>
      <c r="F2">
        <v>0.86554621848739499</v>
      </c>
      <c r="G2">
        <v>0.89473684210526316</v>
      </c>
      <c r="H2">
        <v>0.87179487179487181</v>
      </c>
      <c r="I2">
        <v>0.91891891891891897</v>
      </c>
    </row>
    <row r="3" spans="1:9" x14ac:dyDescent="0.3">
      <c r="A3">
        <v>1002</v>
      </c>
      <c r="B3">
        <v>0.89915966386554624</v>
      </c>
      <c r="C3">
        <v>0.92307692307692324</v>
      </c>
      <c r="D3">
        <v>0.87804878048780488</v>
      </c>
      <c r="E3">
        <v>0.97297297297297303</v>
      </c>
      <c r="F3">
        <v>0.88235294117647056</v>
      </c>
      <c r="G3">
        <v>0.91025641025641024</v>
      </c>
      <c r="H3">
        <v>0.86585365853658536</v>
      </c>
      <c r="I3">
        <v>0.95945945945945943</v>
      </c>
    </row>
    <row r="4" spans="1:9" x14ac:dyDescent="0.3">
      <c r="A4">
        <v>1003</v>
      </c>
      <c r="B4">
        <v>0.86554621848739499</v>
      </c>
      <c r="C4">
        <v>0.89189189189189189</v>
      </c>
      <c r="D4">
        <v>0.89189189189189189</v>
      </c>
      <c r="E4">
        <v>0.89189189189189189</v>
      </c>
      <c r="F4">
        <v>0.8571428571428571</v>
      </c>
      <c r="G4">
        <v>0.88435374149659862</v>
      </c>
      <c r="H4">
        <v>0.8904109589041096</v>
      </c>
      <c r="I4">
        <v>0.8783783783783784</v>
      </c>
    </row>
    <row r="5" spans="1:9" x14ac:dyDescent="0.3">
      <c r="A5">
        <v>1004</v>
      </c>
      <c r="B5">
        <v>0.89075630252100846</v>
      </c>
      <c r="C5">
        <v>0.91156462585034004</v>
      </c>
      <c r="D5">
        <v>0.9178082191780822</v>
      </c>
      <c r="E5">
        <v>0.90540540540540537</v>
      </c>
      <c r="F5">
        <v>0.89075630252100846</v>
      </c>
      <c r="G5">
        <v>0.91034482758620683</v>
      </c>
      <c r="H5">
        <v>0.92957746478873238</v>
      </c>
      <c r="I5">
        <v>0.89189189189189189</v>
      </c>
    </row>
    <row r="6" spans="1:9" x14ac:dyDescent="0.3">
      <c r="A6">
        <v>1005</v>
      </c>
      <c r="B6">
        <v>0.89075630252100846</v>
      </c>
      <c r="C6">
        <v>0.91390728476821192</v>
      </c>
      <c r="D6">
        <v>0.89610389610389607</v>
      </c>
      <c r="E6">
        <v>0.93243243243243246</v>
      </c>
      <c r="F6">
        <v>0.86554621848739499</v>
      </c>
      <c r="G6">
        <v>0.89189189189189189</v>
      </c>
      <c r="H6">
        <v>0.89189189189189189</v>
      </c>
      <c r="I6">
        <v>0.89189189189189189</v>
      </c>
    </row>
    <row r="7" spans="1:9" x14ac:dyDescent="0.3">
      <c r="B7">
        <f>AVERAGE(B2:B6)</f>
        <v>0.88403361344537823</v>
      </c>
      <c r="C7">
        <f t="shared" ref="C7:I7" si="0">AVERAGE(C2:C6)</f>
        <v>0.90848030198021834</v>
      </c>
      <c r="D7">
        <f t="shared" si="0"/>
        <v>0.89145410183613261</v>
      </c>
      <c r="E7">
        <f t="shared" si="0"/>
        <v>0.927027027027027</v>
      </c>
      <c r="F7">
        <f t="shared" si="0"/>
        <v>0.87226890756302533</v>
      </c>
      <c r="G7">
        <f t="shared" si="0"/>
        <v>0.89831674266727413</v>
      </c>
      <c r="H7">
        <f t="shared" si="0"/>
        <v>0.88990576918323827</v>
      </c>
      <c r="I7">
        <f t="shared" si="0"/>
        <v>0.90810810810810827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608F-3F06-4BCA-B0DC-7D8748FD50B6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0.89915966386554624</v>
      </c>
      <c r="C2">
        <v>0.9178082191780822</v>
      </c>
      <c r="D2">
        <v>0.93055555555555558</v>
      </c>
      <c r="E2">
        <v>0.90540540540540537</v>
      </c>
      <c r="F2">
        <v>0.89075630252100846</v>
      </c>
      <c r="G2">
        <v>0.91156462585034004</v>
      </c>
      <c r="H2">
        <v>0.9178082191780822</v>
      </c>
      <c r="I2">
        <v>0.90540540540540537</v>
      </c>
    </row>
    <row r="3" spans="1:9" x14ac:dyDescent="0.3">
      <c r="A3">
        <v>1002</v>
      </c>
      <c r="B3">
        <v>0.89915966386554624</v>
      </c>
      <c r="C3">
        <v>0.92</v>
      </c>
      <c r="D3">
        <v>0.9078947368421052</v>
      </c>
      <c r="E3">
        <v>0.93243243243243235</v>
      </c>
      <c r="F3">
        <v>0.89915966386554624</v>
      </c>
      <c r="G3">
        <v>0.91891891891891897</v>
      </c>
      <c r="H3">
        <v>0.91891891891891897</v>
      </c>
      <c r="I3">
        <v>0.91891891891891897</v>
      </c>
    </row>
    <row r="4" spans="1:9" x14ac:dyDescent="0.3">
      <c r="A4">
        <v>1003</v>
      </c>
      <c r="B4">
        <v>0.87394957983193278</v>
      </c>
      <c r="C4">
        <v>0.89932885906040272</v>
      </c>
      <c r="D4">
        <v>0.89333333333333331</v>
      </c>
      <c r="E4">
        <v>0.90540540540540537</v>
      </c>
      <c r="F4">
        <v>0.86554621848739499</v>
      </c>
      <c r="G4">
        <v>0.89189189189189189</v>
      </c>
      <c r="H4">
        <v>0.89189189189189189</v>
      </c>
      <c r="I4">
        <v>0.89189189189189189</v>
      </c>
    </row>
    <row r="5" spans="1:9" x14ac:dyDescent="0.3">
      <c r="A5">
        <v>1004</v>
      </c>
      <c r="B5">
        <v>0.89915966386554624</v>
      </c>
      <c r="C5">
        <v>0.92105263157894723</v>
      </c>
      <c r="D5">
        <v>0.89743589743589747</v>
      </c>
      <c r="E5">
        <v>0.94594594594594605</v>
      </c>
      <c r="F5">
        <v>0.90756302521008403</v>
      </c>
      <c r="G5">
        <v>0.92617449664429519</v>
      </c>
      <c r="H5">
        <v>0.92</v>
      </c>
      <c r="I5">
        <v>0.93243243243243235</v>
      </c>
    </row>
    <row r="6" spans="1:9" x14ac:dyDescent="0.3">
      <c r="A6">
        <v>1005</v>
      </c>
      <c r="B6">
        <v>0.89075630252100846</v>
      </c>
      <c r="C6">
        <v>0.91275167785234901</v>
      </c>
      <c r="D6">
        <v>0.90666666666666662</v>
      </c>
      <c r="E6">
        <v>0.91891891891891897</v>
      </c>
      <c r="F6">
        <v>0.88235294117647056</v>
      </c>
      <c r="G6">
        <v>0.90540540540540537</v>
      </c>
      <c r="H6">
        <v>0.90540540540540537</v>
      </c>
      <c r="I6">
        <v>0.90540540540540537</v>
      </c>
    </row>
    <row r="7" spans="1:9" x14ac:dyDescent="0.3">
      <c r="B7">
        <f>AVERAGE(B2:B6)</f>
        <v>0.89243697478991602</v>
      </c>
      <c r="C7">
        <f t="shared" ref="C7:I7" si="0">AVERAGE(C2:C6)</f>
        <v>0.91418827753395626</v>
      </c>
      <c r="D7">
        <f t="shared" si="0"/>
        <v>0.90717723796671168</v>
      </c>
      <c r="E7">
        <f t="shared" si="0"/>
        <v>0.92162162162162153</v>
      </c>
      <c r="F7">
        <f t="shared" si="0"/>
        <v>0.8890756302521009</v>
      </c>
      <c r="G7">
        <f t="shared" si="0"/>
        <v>0.91079106774217033</v>
      </c>
      <c r="H7">
        <f t="shared" si="0"/>
        <v>0.91080488707885965</v>
      </c>
      <c r="I7">
        <f t="shared" si="0"/>
        <v>0.91081081081081083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B8AF-B14F-4DC0-89A6-BB35F942AE4C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0.91596638655462181</v>
      </c>
      <c r="C2">
        <v>0.93589743589743601</v>
      </c>
      <c r="D2">
        <v>0.8902439024390244</v>
      </c>
      <c r="E2">
        <v>0.9864864864864864</v>
      </c>
      <c r="F2">
        <v>0.91596638655462181</v>
      </c>
      <c r="G2">
        <v>0.93506493506493504</v>
      </c>
      <c r="H2">
        <v>0.9</v>
      </c>
      <c r="I2">
        <v>0.97297297297297303</v>
      </c>
    </row>
    <row r="3" spans="1:9" x14ac:dyDescent="0.3">
      <c r="A3">
        <v>1002</v>
      </c>
      <c r="B3">
        <v>0.91596638655462181</v>
      </c>
      <c r="C3">
        <v>0.9342105263157896</v>
      </c>
      <c r="D3">
        <v>0.91025641025641024</v>
      </c>
      <c r="E3">
        <v>0.95945945945945943</v>
      </c>
      <c r="F3">
        <v>0.90756302521008403</v>
      </c>
      <c r="G3">
        <v>0.92715231788079477</v>
      </c>
      <c r="H3">
        <v>0.90909090909090917</v>
      </c>
      <c r="I3">
        <v>0.94594594594594605</v>
      </c>
    </row>
    <row r="4" spans="1:9" x14ac:dyDescent="0.3">
      <c r="A4">
        <v>1003</v>
      </c>
      <c r="B4">
        <v>0.9243697478991596</v>
      </c>
      <c r="C4">
        <v>0.94039735099337762</v>
      </c>
      <c r="D4">
        <v>0.92207792207792205</v>
      </c>
      <c r="E4">
        <v>0.95945945945945943</v>
      </c>
      <c r="F4">
        <v>0.9243697478991596</v>
      </c>
      <c r="G4">
        <v>0.94039735099337762</v>
      </c>
      <c r="H4">
        <v>0.92207792207792205</v>
      </c>
      <c r="I4">
        <v>0.95945945945945943</v>
      </c>
    </row>
    <row r="5" spans="1:9" x14ac:dyDescent="0.3">
      <c r="A5">
        <v>1004</v>
      </c>
      <c r="B5">
        <v>0.90756302521008403</v>
      </c>
      <c r="C5">
        <v>0.92810457516339884</v>
      </c>
      <c r="D5">
        <v>0.89873417721518989</v>
      </c>
      <c r="E5">
        <v>0.95945945945945943</v>
      </c>
      <c r="F5">
        <v>0.90756302521008403</v>
      </c>
      <c r="G5">
        <v>0.92715231788079477</v>
      </c>
      <c r="H5">
        <v>0.90909090909090917</v>
      </c>
      <c r="I5">
        <v>0.94594594594594605</v>
      </c>
    </row>
    <row r="6" spans="1:9" x14ac:dyDescent="0.3">
      <c r="A6">
        <v>1005</v>
      </c>
      <c r="B6">
        <v>0.92436974789915971</v>
      </c>
      <c r="C6">
        <v>0.94117647058823528</v>
      </c>
      <c r="D6">
        <v>0.91139240506329111</v>
      </c>
      <c r="E6">
        <v>0.97297297297297303</v>
      </c>
      <c r="F6">
        <v>0.92436974789915971</v>
      </c>
      <c r="G6">
        <v>0.94117647058823528</v>
      </c>
      <c r="H6">
        <v>0.91139240506329111</v>
      </c>
      <c r="I6">
        <v>0.97297297297297303</v>
      </c>
    </row>
    <row r="7" spans="1:9" x14ac:dyDescent="0.3">
      <c r="B7">
        <f>AVERAGE(B2:B6)</f>
        <v>0.91764705882352937</v>
      </c>
      <c r="C7">
        <f t="shared" ref="C7:I7" si="0">AVERAGE(C2:C6)</f>
        <v>0.93595727179164745</v>
      </c>
      <c r="D7">
        <f t="shared" si="0"/>
        <v>0.9065409634103675</v>
      </c>
      <c r="E7">
        <f t="shared" si="0"/>
        <v>0.96756756756756757</v>
      </c>
      <c r="F7">
        <f t="shared" si="0"/>
        <v>0.91596638655462181</v>
      </c>
      <c r="G7">
        <f t="shared" si="0"/>
        <v>0.93418867848162768</v>
      </c>
      <c r="H7">
        <f t="shared" si="0"/>
        <v>0.91033042906460615</v>
      </c>
      <c r="I7">
        <f t="shared" si="0"/>
        <v>0.95945945945945943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2A2A3-AA34-4FD7-B68C-C6A25DA231AE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0.8571428571428571</v>
      </c>
      <c r="C2">
        <v>0.88275862068965516</v>
      </c>
      <c r="D2">
        <v>0.90140845070422537</v>
      </c>
      <c r="E2">
        <v>0.86486486486486491</v>
      </c>
      <c r="F2">
        <v>0.83193277310924374</v>
      </c>
      <c r="G2">
        <v>0.86111111111111116</v>
      </c>
      <c r="H2">
        <v>0.88571428571428568</v>
      </c>
      <c r="I2">
        <v>0.83783783783783783</v>
      </c>
    </row>
    <row r="3" spans="1:9" x14ac:dyDescent="0.3">
      <c r="A3">
        <v>1002</v>
      </c>
      <c r="B3">
        <v>0.84873949579831931</v>
      </c>
      <c r="C3">
        <v>0.87323943661971826</v>
      </c>
      <c r="D3">
        <v>0.91176470588235281</v>
      </c>
      <c r="E3">
        <v>0.83783783783783783</v>
      </c>
      <c r="F3">
        <v>0.84033613445378152</v>
      </c>
      <c r="G3">
        <v>0.86330935251798557</v>
      </c>
      <c r="H3">
        <v>0.92307692307692324</v>
      </c>
      <c r="I3">
        <v>0.81081081081081086</v>
      </c>
    </row>
    <row r="4" spans="1:9" x14ac:dyDescent="0.3">
      <c r="A4">
        <v>1003</v>
      </c>
      <c r="B4">
        <v>0.8571428571428571</v>
      </c>
      <c r="C4">
        <v>0.88111888111888115</v>
      </c>
      <c r="D4">
        <v>0.91304347826086962</v>
      </c>
      <c r="E4">
        <v>0.85135135135135132</v>
      </c>
      <c r="F4">
        <v>0.8571428571428571</v>
      </c>
      <c r="G4">
        <v>0.87943262411347523</v>
      </c>
      <c r="H4">
        <v>0.92537313432835822</v>
      </c>
      <c r="I4">
        <v>0.83783783783783783</v>
      </c>
    </row>
    <row r="5" spans="1:9" x14ac:dyDescent="0.3">
      <c r="A5">
        <v>1004</v>
      </c>
      <c r="B5">
        <v>0.83193277310924374</v>
      </c>
      <c r="C5">
        <v>0.86301369863013699</v>
      </c>
      <c r="D5">
        <v>0.875</v>
      </c>
      <c r="E5">
        <v>0.85135135135135132</v>
      </c>
      <c r="F5">
        <v>0.84033613445378152</v>
      </c>
      <c r="G5">
        <v>0.86896551724137927</v>
      </c>
      <c r="H5">
        <v>0.88732394366197187</v>
      </c>
      <c r="I5">
        <v>0.85135135135135132</v>
      </c>
    </row>
    <row r="6" spans="1:9" x14ac:dyDescent="0.3">
      <c r="A6">
        <v>1005</v>
      </c>
      <c r="B6">
        <v>0.86554621848739499</v>
      </c>
      <c r="C6">
        <v>0.88732394366197187</v>
      </c>
      <c r="D6">
        <v>0.92647058823529416</v>
      </c>
      <c r="E6">
        <v>0.85135135135135132</v>
      </c>
      <c r="F6">
        <v>0.84033613445378152</v>
      </c>
      <c r="G6">
        <v>0.86330935251798557</v>
      </c>
      <c r="H6">
        <v>0.92307692307692313</v>
      </c>
      <c r="I6">
        <v>0.81081081081081086</v>
      </c>
    </row>
    <row r="7" spans="1:9" x14ac:dyDescent="0.3">
      <c r="B7">
        <f>AVERAGE(B2:B6)</f>
        <v>0.85210084033613442</v>
      </c>
      <c r="C7">
        <f t="shared" ref="C7:I7" si="0">AVERAGE(C2:C6)</f>
        <v>0.87749091614407271</v>
      </c>
      <c r="D7">
        <f t="shared" si="0"/>
        <v>0.90553744461654839</v>
      </c>
      <c r="E7">
        <f t="shared" si="0"/>
        <v>0.8513513513513512</v>
      </c>
      <c r="F7">
        <f t="shared" si="0"/>
        <v>0.84201680672268908</v>
      </c>
      <c r="G7">
        <f t="shared" si="0"/>
        <v>0.86722559150038736</v>
      </c>
      <c r="H7">
        <f t="shared" si="0"/>
        <v>0.90891304197169254</v>
      </c>
      <c r="I7">
        <f t="shared" si="0"/>
        <v>0.82972972972972969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1866-AEE7-40E5-BE74-E9B6A4FD9081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0.82352941176470584</v>
      </c>
      <c r="C2">
        <v>0.85314685314685312</v>
      </c>
      <c r="D2">
        <v>0.88405797101449279</v>
      </c>
      <c r="E2">
        <v>0.82432432432432434</v>
      </c>
      <c r="F2">
        <v>0.84033613445378152</v>
      </c>
      <c r="G2">
        <v>0.86713286713286708</v>
      </c>
      <c r="H2">
        <v>0.89855072463768115</v>
      </c>
      <c r="I2">
        <v>0.83783783783783783</v>
      </c>
    </row>
    <row r="3" spans="1:9" x14ac:dyDescent="0.3">
      <c r="A3">
        <v>1002</v>
      </c>
      <c r="B3">
        <v>0.84033613445378152</v>
      </c>
      <c r="C3">
        <v>0.87248322147651003</v>
      </c>
      <c r="D3">
        <v>0.8666666666666667</v>
      </c>
      <c r="E3">
        <v>0.8783783783783784</v>
      </c>
      <c r="F3">
        <v>0.82352941176470584</v>
      </c>
      <c r="G3">
        <v>0.8571428571428571</v>
      </c>
      <c r="H3">
        <v>0.86301369863013699</v>
      </c>
      <c r="I3">
        <v>0.85135135135135132</v>
      </c>
    </row>
    <row r="4" spans="1:9" x14ac:dyDescent="0.3">
      <c r="A4">
        <v>1003</v>
      </c>
      <c r="B4">
        <v>0.84873949579831931</v>
      </c>
      <c r="C4">
        <v>0.88</v>
      </c>
      <c r="D4">
        <v>0.86842105263157898</v>
      </c>
      <c r="E4">
        <v>0.89189189189189189</v>
      </c>
      <c r="F4">
        <v>0.83193277310924374</v>
      </c>
      <c r="G4">
        <v>0.86486486486486491</v>
      </c>
      <c r="H4">
        <v>0.86486486486486491</v>
      </c>
      <c r="I4">
        <v>0.86486486486486491</v>
      </c>
    </row>
    <row r="5" spans="1:9" x14ac:dyDescent="0.3">
      <c r="A5">
        <v>1004</v>
      </c>
      <c r="B5">
        <v>0.83193277310924374</v>
      </c>
      <c r="C5">
        <v>0.86111111111111116</v>
      </c>
      <c r="D5">
        <v>0.88571428571428568</v>
      </c>
      <c r="E5">
        <v>0.83783783783783783</v>
      </c>
      <c r="F5">
        <v>0.82352941176470584</v>
      </c>
      <c r="G5">
        <v>0.85314685314685312</v>
      </c>
      <c r="H5">
        <v>0.88405797101449279</v>
      </c>
      <c r="I5">
        <v>0.82432432432432434</v>
      </c>
    </row>
    <row r="6" spans="1:9" x14ac:dyDescent="0.3">
      <c r="A6">
        <v>1005</v>
      </c>
      <c r="B6">
        <v>0.84873949579831931</v>
      </c>
      <c r="C6">
        <v>0.8783783783783784</v>
      </c>
      <c r="D6">
        <v>0.8783783783783784</v>
      </c>
      <c r="E6">
        <v>0.8783783783783784</v>
      </c>
      <c r="F6">
        <v>0.84033613445378152</v>
      </c>
      <c r="G6">
        <v>0.87074829931972786</v>
      </c>
      <c r="H6">
        <v>0.87671232876712324</v>
      </c>
      <c r="I6">
        <v>0.86486486486486491</v>
      </c>
    </row>
    <row r="7" spans="1:9" x14ac:dyDescent="0.3">
      <c r="B7">
        <f>AVERAGE(B2:B6)</f>
        <v>0.83865546218487397</v>
      </c>
      <c r="C7">
        <f t="shared" ref="C7:I7" si="0">AVERAGE(C2:C6)</f>
        <v>0.86902391282257052</v>
      </c>
      <c r="D7">
        <f t="shared" si="0"/>
        <v>0.87664767088108042</v>
      </c>
      <c r="E7">
        <f t="shared" si="0"/>
        <v>0.86216216216216213</v>
      </c>
      <c r="F7">
        <f t="shared" si="0"/>
        <v>0.83193277310924363</v>
      </c>
      <c r="G7">
        <f t="shared" si="0"/>
        <v>0.86260714832143415</v>
      </c>
      <c r="H7">
        <f t="shared" si="0"/>
        <v>0.87743991758285989</v>
      </c>
      <c r="I7">
        <f t="shared" si="0"/>
        <v>0.84864864864864864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7A7B-13BF-4BA8-9911-3B3EAF0F8719}">
  <dimension ref="A1:I7"/>
  <sheetViews>
    <sheetView workbookViewId="0">
      <selection activeCell="G11" sqref="G11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0.8571428571428571</v>
      </c>
      <c r="C2">
        <v>0.88435374149659862</v>
      </c>
      <c r="D2">
        <v>0.8904109589041096</v>
      </c>
      <c r="E2">
        <v>0.8783783783783784</v>
      </c>
      <c r="F2">
        <v>0.86554621848739499</v>
      </c>
      <c r="G2">
        <v>0.8904109589041096</v>
      </c>
      <c r="H2">
        <v>0.90277777777777779</v>
      </c>
      <c r="I2">
        <v>0.8783783783783784</v>
      </c>
    </row>
    <row r="3" spans="1:9" x14ac:dyDescent="0.3">
      <c r="A3">
        <v>1002</v>
      </c>
      <c r="B3">
        <v>0.84033613445378152</v>
      </c>
      <c r="C3">
        <v>0.86896551724137927</v>
      </c>
      <c r="D3">
        <v>0.88732394366197187</v>
      </c>
      <c r="E3">
        <v>0.85135135135135132</v>
      </c>
      <c r="F3">
        <v>0.83193277310924374</v>
      </c>
      <c r="G3">
        <v>0.86111111111111116</v>
      </c>
      <c r="H3">
        <v>0.88571428571428568</v>
      </c>
      <c r="I3">
        <v>0.83783783783783783</v>
      </c>
    </row>
    <row r="4" spans="1:9" x14ac:dyDescent="0.3">
      <c r="A4">
        <v>1003</v>
      </c>
      <c r="B4">
        <v>0.78991596638655459</v>
      </c>
      <c r="C4">
        <v>0.81751824817518248</v>
      </c>
      <c r="D4">
        <v>0.88888888888888884</v>
      </c>
      <c r="E4">
        <v>0.7567567567567568</v>
      </c>
      <c r="F4">
        <v>0.80672268907563027</v>
      </c>
      <c r="G4">
        <v>0.83211678832116787</v>
      </c>
      <c r="H4">
        <v>0.90476190476190477</v>
      </c>
      <c r="I4">
        <v>0.77027027027027029</v>
      </c>
    </row>
    <row r="5" spans="1:9" x14ac:dyDescent="0.3">
      <c r="A5">
        <v>1004</v>
      </c>
      <c r="B5">
        <v>0.80672268907563027</v>
      </c>
      <c r="C5">
        <v>0.83916083916083917</v>
      </c>
      <c r="D5">
        <v>0.86956521739130432</v>
      </c>
      <c r="E5">
        <v>0.81081081081081086</v>
      </c>
      <c r="F5">
        <v>0.80672268907563027</v>
      </c>
      <c r="G5">
        <v>0.83916083916083917</v>
      </c>
      <c r="H5">
        <v>0.86956521739130432</v>
      </c>
      <c r="I5">
        <v>0.81081081081081086</v>
      </c>
    </row>
    <row r="6" spans="1:9" x14ac:dyDescent="0.3">
      <c r="A6">
        <v>1005</v>
      </c>
      <c r="B6">
        <v>0.81512605042016806</v>
      </c>
      <c r="C6">
        <v>0.84507042253521125</v>
      </c>
      <c r="D6">
        <v>0.88235294117647056</v>
      </c>
      <c r="E6">
        <v>0.81081081081081086</v>
      </c>
      <c r="F6">
        <v>0.81512605042016806</v>
      </c>
      <c r="G6">
        <v>0.84722222222222221</v>
      </c>
      <c r="H6">
        <v>0.87142857142857144</v>
      </c>
      <c r="I6">
        <v>0.82432432432432434</v>
      </c>
    </row>
    <row r="7" spans="1:9" x14ac:dyDescent="0.3">
      <c r="B7">
        <f>AVERAGE(B2:B6)</f>
        <v>0.82184873949579829</v>
      </c>
      <c r="C7">
        <f t="shared" ref="C7:I7" si="0">AVERAGE(C2:C6)</f>
        <v>0.85101375372184207</v>
      </c>
      <c r="D7">
        <f t="shared" si="0"/>
        <v>0.88370839000454904</v>
      </c>
      <c r="E7">
        <f t="shared" si="0"/>
        <v>0.82162162162162178</v>
      </c>
      <c r="F7">
        <f t="shared" si="0"/>
        <v>0.8252100840336134</v>
      </c>
      <c r="G7">
        <f t="shared" si="0"/>
        <v>0.85400438394389</v>
      </c>
      <c r="H7">
        <f t="shared" si="0"/>
        <v>0.88684955141476873</v>
      </c>
      <c r="I7">
        <f t="shared" si="0"/>
        <v>0.82432432432432434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7C140-6D3A-4901-B284-F9604CE70C42}">
  <dimension ref="A1:I7"/>
  <sheetViews>
    <sheetView workbookViewId="0">
      <selection activeCell="B7" sqref="B7:I7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0.88235294117647056</v>
      </c>
      <c r="C2">
        <v>0.90410958904109584</v>
      </c>
      <c r="D2">
        <v>0.91666666666666663</v>
      </c>
      <c r="E2">
        <v>0.89189189189189189</v>
      </c>
      <c r="F2">
        <v>0.87394957983193278</v>
      </c>
      <c r="G2">
        <v>0.89795918367346939</v>
      </c>
      <c r="H2">
        <v>0.90410958904109584</v>
      </c>
      <c r="I2">
        <v>0.89189189189189189</v>
      </c>
    </row>
    <row r="3" spans="1:9" x14ac:dyDescent="0.3">
      <c r="A3">
        <v>1002</v>
      </c>
      <c r="B3">
        <v>0.88235294117647056</v>
      </c>
      <c r="C3">
        <v>0.90666666666666662</v>
      </c>
      <c r="D3">
        <v>0.89473684210526316</v>
      </c>
      <c r="E3">
        <v>0.91891891891891897</v>
      </c>
      <c r="F3">
        <v>0.8571428571428571</v>
      </c>
      <c r="G3">
        <v>0.88590604026845643</v>
      </c>
      <c r="H3">
        <v>0.88</v>
      </c>
      <c r="I3">
        <v>0.89189189189189189</v>
      </c>
    </row>
    <row r="4" spans="1:9" x14ac:dyDescent="0.3">
      <c r="A4">
        <v>1003</v>
      </c>
      <c r="B4">
        <v>0.89075630252100846</v>
      </c>
      <c r="C4">
        <v>0.91503267973856195</v>
      </c>
      <c r="D4">
        <v>0.88607594936708856</v>
      </c>
      <c r="E4">
        <v>0.94594594594594605</v>
      </c>
      <c r="F4">
        <v>0.86554621848739499</v>
      </c>
      <c r="G4">
        <v>0.89333333333333331</v>
      </c>
      <c r="H4">
        <v>0.88157894736842102</v>
      </c>
      <c r="I4">
        <v>0.90540540540540537</v>
      </c>
    </row>
    <row r="5" spans="1:9" x14ac:dyDescent="0.3">
      <c r="A5">
        <v>1004</v>
      </c>
      <c r="B5">
        <v>0.88235294117647056</v>
      </c>
      <c r="C5">
        <v>0.90666666666666662</v>
      </c>
      <c r="D5">
        <v>0.89473684210526316</v>
      </c>
      <c r="E5">
        <v>0.91891891891891897</v>
      </c>
      <c r="F5">
        <v>0.88235294117647056</v>
      </c>
      <c r="G5">
        <v>0.90666666666666662</v>
      </c>
      <c r="H5">
        <v>0.89473684210526316</v>
      </c>
      <c r="I5">
        <v>0.91891891891891897</v>
      </c>
    </row>
    <row r="6" spans="1:9" x14ac:dyDescent="0.3">
      <c r="A6">
        <v>1005</v>
      </c>
      <c r="B6">
        <v>0.88235294117647056</v>
      </c>
      <c r="C6">
        <v>0.90909090909090906</v>
      </c>
      <c r="D6">
        <v>0.875</v>
      </c>
      <c r="E6">
        <v>0.94594594594594594</v>
      </c>
      <c r="F6">
        <v>0.88235294117647056</v>
      </c>
      <c r="G6">
        <v>0.90909090909090906</v>
      </c>
      <c r="H6">
        <v>0.875</v>
      </c>
      <c r="I6">
        <v>0.94594594594594594</v>
      </c>
    </row>
    <row r="7" spans="1:9" x14ac:dyDescent="0.3">
      <c r="B7">
        <f>SUBTOTAL(101,whisper_single8_log_auto_1___1[acc_test])</f>
        <v>0.88403361344537823</v>
      </c>
      <c r="C7">
        <f>SUBTOTAL(101,whisper_single8_log_auto_1___1[f1])</f>
        <v>0.90831330224078</v>
      </c>
      <c r="D7">
        <f>SUBTOTAL(101,whisper_single8_log_auto_1___1[precision])</f>
        <v>0.89344326004885632</v>
      </c>
      <c r="E7">
        <f>SUBTOTAL(101,whisper_single8_log_auto_1___1[recall])</f>
        <v>0.92432432432432443</v>
      </c>
      <c r="F7">
        <f>SUBTOTAL(101,whisper_single8_log_auto_1___1[acc_test_vote])</f>
        <v>0.87226890756302533</v>
      </c>
      <c r="G7">
        <f>SUBTOTAL(101,whisper_single8_log_auto_1___1[f1_vote])</f>
        <v>0.89859122660656698</v>
      </c>
      <c r="H7">
        <f>SUBTOTAL(101,whisper_single8_log_auto_1___1[precision_vote])</f>
        <v>0.88708507570295614</v>
      </c>
      <c r="I7">
        <f>SUBTOTAL(101,whisper_single8_log_auto_1___1[recall_vote])</f>
        <v>0.91081081081081072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FB2E0-48AB-465B-9A48-110002E9E3ED}">
  <dimension ref="A1:I7"/>
  <sheetViews>
    <sheetView topLeftCell="C1" workbookViewId="0">
      <selection activeCell="F18" sqref="F18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0.82352941176470584</v>
      </c>
      <c r="C2">
        <v>0.8571428571428571</v>
      </c>
      <c r="D2">
        <v>0.86301369863013699</v>
      </c>
      <c r="E2">
        <v>0.85135135135135132</v>
      </c>
      <c r="F2">
        <v>0.84033613445378152</v>
      </c>
      <c r="G2">
        <v>0.87074829931972786</v>
      </c>
      <c r="H2">
        <v>0.87671232876712324</v>
      </c>
      <c r="I2">
        <v>0.86486486486486491</v>
      </c>
    </row>
    <row r="3" spans="1:9" x14ac:dyDescent="0.3">
      <c r="A3">
        <v>1002</v>
      </c>
      <c r="B3">
        <v>0.78151260504201681</v>
      </c>
      <c r="C3">
        <v>0.83116883116883122</v>
      </c>
      <c r="D3">
        <v>0.8</v>
      </c>
      <c r="E3">
        <v>0.86486486486486491</v>
      </c>
      <c r="F3">
        <v>0.77310924369747902</v>
      </c>
      <c r="G3">
        <v>0.82352941176470584</v>
      </c>
      <c r="H3">
        <v>0.79746835443037978</v>
      </c>
      <c r="I3">
        <v>0.85135135135135132</v>
      </c>
    </row>
    <row r="4" spans="1:9" x14ac:dyDescent="0.3">
      <c r="A4">
        <v>1003</v>
      </c>
      <c r="B4">
        <v>0.86554621848739499</v>
      </c>
      <c r="C4">
        <v>0.8904109589041096</v>
      </c>
      <c r="D4">
        <v>0.90277777777777779</v>
      </c>
      <c r="E4">
        <v>0.8783783783783784</v>
      </c>
      <c r="F4">
        <v>0.87394957983193278</v>
      </c>
      <c r="G4">
        <v>0.89655172413793105</v>
      </c>
      <c r="H4">
        <v>0.91549295774647876</v>
      </c>
      <c r="I4">
        <v>0.8783783783783784</v>
      </c>
    </row>
    <row r="5" spans="1:9" x14ac:dyDescent="0.3">
      <c r="A5">
        <v>1004</v>
      </c>
      <c r="B5">
        <v>0.79831932773109249</v>
      </c>
      <c r="C5">
        <v>0.83561643835616439</v>
      </c>
      <c r="D5">
        <v>0.84722222222222221</v>
      </c>
      <c r="E5">
        <v>0.82432432432432434</v>
      </c>
      <c r="F5">
        <v>0.79831932773109249</v>
      </c>
      <c r="G5">
        <v>0.83333333333333337</v>
      </c>
      <c r="H5">
        <v>0.8571428571428571</v>
      </c>
      <c r="I5">
        <v>0.81081081081081086</v>
      </c>
    </row>
    <row r="6" spans="1:9" x14ac:dyDescent="0.3">
      <c r="A6">
        <v>1005</v>
      </c>
      <c r="B6">
        <v>0.78991596638655459</v>
      </c>
      <c r="C6">
        <v>0.82517482517482521</v>
      </c>
      <c r="D6">
        <v>0.85507246376811596</v>
      </c>
      <c r="E6">
        <v>0.79729729729729726</v>
      </c>
      <c r="F6">
        <v>0.80672268907563027</v>
      </c>
      <c r="G6">
        <v>0.83687943262411346</v>
      </c>
      <c r="H6">
        <v>0.88059701492537312</v>
      </c>
      <c r="I6">
        <v>0.79729729729729726</v>
      </c>
    </row>
    <row r="7" spans="1:9" x14ac:dyDescent="0.3">
      <c r="B7">
        <f>SUBTOTAL(101,whisper_single1_log_auto_1___1[acc_test])</f>
        <v>0.81176470588235294</v>
      </c>
      <c r="C7">
        <f>SUBTOTAL(101,whisper_single1_log_auto_1___1[f1])</f>
        <v>0.84790278214935744</v>
      </c>
      <c r="D7">
        <f>SUBTOTAL(101,whisper_single1_log_auto_1___1[precision])</f>
        <v>0.85361723247965071</v>
      </c>
      <c r="E7">
        <f>SUBTOTAL(101,whisper_single1_log_auto_1___1[recall])</f>
        <v>0.84324324324324329</v>
      </c>
      <c r="F7">
        <f>SUBTOTAL(101,whisper_single1_log_auto_1___1[acc_test_vote])</f>
        <v>0.81848739495798317</v>
      </c>
      <c r="G7">
        <f>SUBTOTAL(101,whisper_single1_log_auto_1___1[f1_vote])</f>
        <v>0.85220844023596221</v>
      </c>
      <c r="H7">
        <f>SUBTOTAL(101,whisper_single1_log_auto_1___1[precision_vote])</f>
        <v>0.86548270260244242</v>
      </c>
      <c r="I7">
        <f>SUBTOTAL(101,whisper_single1_log_auto_1___1[recall_vote])</f>
        <v>0.8405405405405405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9CFEE-1FA3-470A-A254-74F58386CAFF}">
  <dimension ref="A1:I7"/>
  <sheetViews>
    <sheetView topLeftCell="C1" workbookViewId="0">
      <selection activeCell="F10" sqref="F10"/>
    </sheetView>
  </sheetViews>
  <sheetFormatPr defaultRowHeight="14" x14ac:dyDescent="0.3"/>
  <cols>
    <col min="1" max="1" width="7.08203125" bestFit="1" customWidth="1"/>
    <col min="2" max="5" width="12.33203125" bestFit="1" customWidth="1"/>
    <col min="6" max="6" width="14.25" bestFit="1" customWidth="1"/>
    <col min="7" max="7" width="12.33203125" bestFit="1" customWidth="1"/>
    <col min="8" max="8" width="15.4140625" bestFit="1" customWidth="1"/>
    <col min="9" max="9" width="12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>
        <v>0.78991596638655459</v>
      </c>
      <c r="C2">
        <v>0.82517482517482521</v>
      </c>
      <c r="D2">
        <v>0.85507246376811596</v>
      </c>
      <c r="E2">
        <v>0.79729729729729726</v>
      </c>
      <c r="F2">
        <v>0.77310924369747902</v>
      </c>
      <c r="G2">
        <v>0.80851063829787229</v>
      </c>
      <c r="H2">
        <v>0.85074626865671643</v>
      </c>
      <c r="I2">
        <v>0.77027027027027029</v>
      </c>
    </row>
    <row r="3" spans="1:9" x14ac:dyDescent="0.3">
      <c r="A3">
        <v>1002</v>
      </c>
      <c r="B3">
        <v>0.81512605042016806</v>
      </c>
      <c r="C3">
        <v>0.84722222222222221</v>
      </c>
      <c r="D3">
        <v>0.87142857142857144</v>
      </c>
      <c r="E3">
        <v>0.82432432432432434</v>
      </c>
      <c r="F3">
        <v>0.82352941176470584</v>
      </c>
      <c r="G3">
        <v>0.85314685314685312</v>
      </c>
      <c r="H3">
        <v>0.88405797101449279</v>
      </c>
      <c r="I3">
        <v>0.82432432432432434</v>
      </c>
    </row>
    <row r="4" spans="1:9" x14ac:dyDescent="0.3">
      <c r="A4">
        <v>1003</v>
      </c>
      <c r="B4">
        <v>0.80672268907563027</v>
      </c>
      <c r="C4">
        <v>0.83916083916083917</v>
      </c>
      <c r="D4">
        <v>0.86956521739130432</v>
      </c>
      <c r="E4">
        <v>0.81081081081081086</v>
      </c>
      <c r="F4">
        <v>0.83193277310924374</v>
      </c>
      <c r="G4">
        <v>0.86301369863013699</v>
      </c>
      <c r="H4">
        <v>0.875</v>
      </c>
      <c r="I4">
        <v>0.85135135135135132</v>
      </c>
    </row>
    <row r="5" spans="1:9" x14ac:dyDescent="0.3">
      <c r="A5">
        <v>1004</v>
      </c>
      <c r="B5">
        <v>0.83193277310924374</v>
      </c>
      <c r="C5">
        <v>0.85915492957746475</v>
      </c>
      <c r="D5">
        <v>0.8970588235294118</v>
      </c>
      <c r="E5">
        <v>0.82432432432432434</v>
      </c>
      <c r="F5">
        <v>0.82352941176470584</v>
      </c>
      <c r="G5">
        <v>0.85314685314685312</v>
      </c>
      <c r="H5">
        <v>0.88405797101449279</v>
      </c>
      <c r="I5">
        <v>0.82432432432432434</v>
      </c>
    </row>
    <row r="6" spans="1:9" x14ac:dyDescent="0.3">
      <c r="A6">
        <v>1005</v>
      </c>
      <c r="B6">
        <v>0.81512605042016806</v>
      </c>
      <c r="C6">
        <v>0.84931506849315064</v>
      </c>
      <c r="D6">
        <v>0.86111111111111116</v>
      </c>
      <c r="E6">
        <v>0.83783783783783783</v>
      </c>
      <c r="F6">
        <v>0.81512605042016806</v>
      </c>
      <c r="G6">
        <v>0.84931506849315064</v>
      </c>
      <c r="H6">
        <v>0.86111111111111116</v>
      </c>
      <c r="I6">
        <v>0.83783783783783783</v>
      </c>
    </row>
    <row r="7" spans="1:9" x14ac:dyDescent="0.3">
      <c r="B7">
        <f>SUBTOTAL(101,whisper_single2_log_auto_1___1[acc_test])</f>
        <v>0.81176470588235305</v>
      </c>
      <c r="C7">
        <f>SUBTOTAL(101,whisper_single2_log_auto_1___1[f1])</f>
        <v>0.84400557692570044</v>
      </c>
      <c r="D7">
        <f>SUBTOTAL(101,whisper_single2_log_auto_1___1[precision])</f>
        <v>0.87084723744570292</v>
      </c>
      <c r="E7">
        <f>SUBTOTAL(101,whisper_single2_log_auto_1___1[recall])</f>
        <v>0.81891891891891899</v>
      </c>
      <c r="F7">
        <f>SUBTOTAL(101,whisper_single2_log_auto_1___1[acc_test_vote])</f>
        <v>0.8134453781512605</v>
      </c>
      <c r="G7">
        <f>SUBTOTAL(101,whisper_single2_log_auto_1___1[f1_vote])</f>
        <v>0.84542662234297317</v>
      </c>
      <c r="H7">
        <f>SUBTOTAL(101,whisper_single2_log_auto_1___1[precision_vote])</f>
        <v>0.87099466435936246</v>
      </c>
      <c r="I7">
        <f>SUBTOTAL(101,whisper_single2_log_auto_1___1[recall_vote])</f>
        <v>0.82162162162162156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D9A06-8D4E-4695-9C9A-642808A6F57B}">
  <dimension ref="B1:C13"/>
  <sheetViews>
    <sheetView tabSelected="1" workbookViewId="0">
      <selection activeCell="B12" sqref="B12"/>
    </sheetView>
  </sheetViews>
  <sheetFormatPr defaultRowHeight="14" x14ac:dyDescent="0.3"/>
  <cols>
    <col min="2" max="2" width="8.75" customWidth="1"/>
  </cols>
  <sheetData>
    <row r="1" spans="2:3" x14ac:dyDescent="0.3">
      <c r="B1">
        <f ca="1">INDIRECT("'"&amp; 1 &amp; "'!F7")</f>
        <v>0.81848739495798317</v>
      </c>
      <c r="C1">
        <f ca="1">INDIRECT("'"&amp; 1 &amp; "'!G7")</f>
        <v>0.85220844023596221</v>
      </c>
    </row>
    <row r="2" spans="2:3" x14ac:dyDescent="0.3">
      <c r="B2">
        <f ca="1">INDIRECT("'"&amp; 2 &amp; "'!F7")</f>
        <v>0.8134453781512605</v>
      </c>
      <c r="C2">
        <f ca="1">INDIRECT("'"&amp; 2 &amp; "'!G7")</f>
        <v>0.84542662234297317</v>
      </c>
    </row>
    <row r="3" spans="2:3" x14ac:dyDescent="0.3">
      <c r="B3">
        <f ca="1">INDIRECT("'"&amp; 3 &amp; "'!F7")</f>
        <v>0.84201680672268908</v>
      </c>
      <c r="C3">
        <f ca="1">INDIRECT("'"&amp; 3 &amp; "'!G7")</f>
        <v>0.86722559150038736</v>
      </c>
    </row>
    <row r="4" spans="2:3" x14ac:dyDescent="0.3">
      <c r="B4">
        <f ca="1">INDIRECT("'"&amp; 4 &amp; "'!F7")</f>
        <v>0.83193277310924363</v>
      </c>
      <c r="C4">
        <f ca="1">INDIRECT("'"&amp; 4 &amp; "'!G7")</f>
        <v>0.86260714832143415</v>
      </c>
    </row>
    <row r="5" spans="2:3" x14ac:dyDescent="0.3">
      <c r="B5">
        <f ca="1">INDIRECT("'"&amp; 5 &amp; "'!F7")</f>
        <v>0.8252100840336134</v>
      </c>
      <c r="C5">
        <f ca="1">INDIRECT("'"&amp; 5 &amp; "'!G7")</f>
        <v>0.85400438394389</v>
      </c>
    </row>
    <row r="6" spans="2:3" x14ac:dyDescent="0.3">
      <c r="B6">
        <f ca="1">INDIRECT("'"&amp; 6&amp; "'!F7")</f>
        <v>0.81176470588235294</v>
      </c>
      <c r="C6">
        <f ca="1">INDIRECT("'"&amp; 6 &amp; "'!G7")</f>
        <v>0.84579461789758059</v>
      </c>
    </row>
    <row r="7" spans="2:3" x14ac:dyDescent="0.3">
      <c r="B7">
        <f ca="1">INDIRECT("'"&amp; 7&amp; "'!F7")</f>
        <v>0.8369747899159663</v>
      </c>
      <c r="C7">
        <f ca="1">INDIRECT("'"&amp; 7 &amp; "'!G7")</f>
        <v>0.86450003068641124</v>
      </c>
    </row>
    <row r="8" spans="2:3" x14ac:dyDescent="0.3">
      <c r="B8">
        <f ca="1">INDIRECT("'"&amp; 8 &amp; "'!F7")</f>
        <v>0.87226890756302533</v>
      </c>
      <c r="C8">
        <f ca="1">INDIRECT("'"&amp; 8 &amp; "'!G7")</f>
        <v>0.89859122660656698</v>
      </c>
    </row>
    <row r="9" spans="2:3" x14ac:dyDescent="0.3">
      <c r="B9">
        <f ca="1">INDIRECT("'"&amp; 9 &amp; "'!F7")</f>
        <v>0.87226890756302533</v>
      </c>
      <c r="C9">
        <f ca="1">INDIRECT("'"&amp; 9 &amp; "'!G7")</f>
        <v>0.89831674266727413</v>
      </c>
    </row>
    <row r="10" spans="2:3" x14ac:dyDescent="0.3">
      <c r="B10">
        <f ca="1">INDIRECT("'"&amp; 10 &amp; "'!F7")</f>
        <v>0.8890756302521009</v>
      </c>
      <c r="C10">
        <f ca="1">INDIRECT("'"&amp; 10 &amp; "'!G7")</f>
        <v>0.91079106774217033</v>
      </c>
    </row>
    <row r="11" spans="2:3" x14ac:dyDescent="0.3">
      <c r="B11">
        <f ca="1">INDIRECT("'"&amp; 11 &amp; "'!F7")</f>
        <v>0.91428571428571426</v>
      </c>
      <c r="C11">
        <f ca="1">INDIRECT("'"&amp; 11 &amp; "'!G7")</f>
        <v>0.93194874441004472</v>
      </c>
    </row>
    <row r="12" spans="2:3" x14ac:dyDescent="0.3">
      <c r="B12">
        <f ca="1">INDIRECT("'"&amp; 12 &amp; "'!F7")</f>
        <v>0.91596638655462181</v>
      </c>
      <c r="C12">
        <f ca="1">INDIRECT("'"&amp; 12 &amp; "'!G7")</f>
        <v>0.93418867848162768</v>
      </c>
    </row>
    <row r="13" spans="2:3" x14ac:dyDescent="0.3">
      <c r="B13" t="s">
        <v>9</v>
      </c>
    </row>
  </sheetData>
  <phoneticPr fontId="1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CC04411-293B-44A3-8628-D59057D641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11</vt:lpstr>
      <vt:lpstr>6</vt:lpstr>
      <vt:lpstr>7</vt:lpstr>
      <vt:lpstr>9</vt:lpstr>
      <vt:lpstr>10</vt:lpstr>
      <vt:lpstr>12</vt:lpstr>
      <vt:lpstr>3</vt:lpstr>
      <vt:lpstr>4</vt:lpstr>
      <vt:lpstr>5</vt:lpstr>
      <vt:lpstr>8</vt:lpstr>
      <vt:lpstr>1</vt:lpstr>
      <vt:lpstr>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 yu</dc:creator>
  <cp:lastModifiedBy>sc yu</cp:lastModifiedBy>
  <dcterms:created xsi:type="dcterms:W3CDTF">2025-10-27T03:04:02Z</dcterms:created>
  <dcterms:modified xsi:type="dcterms:W3CDTF">2025-11-01T13:32:52Z</dcterms:modified>
</cp:coreProperties>
</file>