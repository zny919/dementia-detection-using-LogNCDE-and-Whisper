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PaperSource\whisper1_12\Pitt\Pittsingle\"/>
    </mc:Choice>
  </mc:AlternateContent>
  <xr:revisionPtr revIDLastSave="0" documentId="13_ncr:1_{1FF2D11C-4F6A-46C1-845A-E5D4D459E189}" xr6:coauthVersionLast="47" xr6:coauthVersionMax="47" xr10:uidLastSave="{00000000-0000-0000-0000-000000000000}"/>
  <bookViews>
    <workbookView xWindow="2210" yWindow="2160" windowWidth="19150" windowHeight="11710" firstSheet="5" activeTab="12" xr2:uid="{D92028FC-E98C-4745-80BA-2090005C6E66}"/>
  </bookViews>
  <sheets>
    <sheet name="12" sheetId="19" r:id="rId1"/>
    <sheet name="11" sheetId="32" r:id="rId2"/>
    <sheet name="9" sheetId="30" r:id="rId3"/>
    <sheet name="8" sheetId="29" r:id="rId4"/>
    <sheet name="6" sheetId="27" r:id="rId5"/>
    <sheet name="5" sheetId="26" r:id="rId6"/>
    <sheet name="4" sheetId="25" r:id="rId7"/>
    <sheet name="3" sheetId="24" r:id="rId8"/>
    <sheet name="2" sheetId="23" r:id="rId9"/>
    <sheet name="1" sheetId="39" r:id="rId10"/>
    <sheet name="7" sheetId="38" r:id="rId11"/>
    <sheet name="10" sheetId="33" r:id="rId12"/>
    <sheet name="Sheet1" sheetId="1" r:id="rId13"/>
  </sheets>
  <definedNames>
    <definedName name="ExternalData_1" localSheetId="11" hidden="1">'10'!$A$1:$I$6</definedName>
    <definedName name="ExternalData_1" localSheetId="8" hidden="1">'2'!$A$1:$I$6</definedName>
    <definedName name="ExternalData_10" localSheetId="1" hidden="1">'11'!$A$1:$I$6</definedName>
    <definedName name="ExternalData_2" localSheetId="7" hidden="1">'3'!$A$1:$I$6</definedName>
    <definedName name="ExternalData_2" localSheetId="10" hidden="1">'7'!$A$1:$I$6</definedName>
    <definedName name="ExternalData_3" localSheetId="9" hidden="1">'1'!$A$1:$I$6</definedName>
    <definedName name="ExternalData_3" localSheetId="6" hidden="1">'4'!$A$1:$I$6</definedName>
    <definedName name="ExternalData_4" localSheetId="0" hidden="1">'12'!$A$1:$I$6</definedName>
    <definedName name="ExternalData_4" localSheetId="5" hidden="1">'5'!$A$1:$I$6</definedName>
    <definedName name="ExternalData_5" localSheetId="4" hidden="1">'6'!$A$1:$I$6</definedName>
    <definedName name="ExternalData_7" localSheetId="3" hidden="1">'8'!$A$1:$I$6</definedName>
    <definedName name="ExternalData_8" localSheetId="2" hidden="1">'9'!$A$1:$I$6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4" i="1"/>
  <c r="C3" i="1"/>
  <c r="C2" i="1"/>
  <c r="C1" i="1"/>
  <c r="C7" i="39"/>
  <c r="D7" i="39"/>
  <c r="E7" i="39"/>
  <c r="F7" i="39"/>
  <c r="G7" i="39"/>
  <c r="H7" i="39"/>
  <c r="I7" i="39"/>
  <c r="B7" i="39"/>
  <c r="C7" i="38"/>
  <c r="D7" i="38"/>
  <c r="E7" i="38"/>
  <c r="F7" i="38"/>
  <c r="G7" i="38"/>
  <c r="H7" i="38"/>
  <c r="I7" i="38"/>
  <c r="C7" i="33"/>
  <c r="D7" i="33"/>
  <c r="E7" i="33"/>
  <c r="F7" i="33"/>
  <c r="G7" i="33"/>
  <c r="H7" i="33"/>
  <c r="I7" i="33"/>
  <c r="B7" i="38"/>
  <c r="B7" i="33"/>
  <c r="I7" i="30"/>
  <c r="I7" i="29"/>
  <c r="I7" i="27"/>
  <c r="I7" i="26"/>
  <c r="I7" i="25"/>
  <c r="I7" i="24"/>
  <c r="I7" i="23"/>
  <c r="I7" i="32"/>
  <c r="C7" i="30"/>
  <c r="D7" i="30"/>
  <c r="E7" i="30"/>
  <c r="F7" i="30"/>
  <c r="G7" i="30"/>
  <c r="H7" i="30"/>
  <c r="C7" i="29"/>
  <c r="D7" i="29"/>
  <c r="E7" i="29"/>
  <c r="F7" i="29"/>
  <c r="G7" i="29"/>
  <c r="H7" i="29"/>
  <c r="C7" i="27"/>
  <c r="D7" i="27"/>
  <c r="E7" i="27"/>
  <c r="F7" i="27"/>
  <c r="G7" i="27"/>
  <c r="H7" i="27"/>
  <c r="C7" i="26"/>
  <c r="D7" i="26"/>
  <c r="E7" i="26"/>
  <c r="F7" i="26"/>
  <c r="G7" i="26"/>
  <c r="H7" i="26"/>
  <c r="C7" i="25"/>
  <c r="D7" i="25"/>
  <c r="E7" i="25"/>
  <c r="F7" i="25"/>
  <c r="G7" i="25"/>
  <c r="H7" i="25"/>
  <c r="C7" i="24"/>
  <c r="D7" i="24"/>
  <c r="E7" i="24"/>
  <c r="F7" i="24"/>
  <c r="G7" i="24"/>
  <c r="H7" i="24"/>
  <c r="C7" i="23"/>
  <c r="D7" i="23"/>
  <c r="E7" i="23"/>
  <c r="F7" i="23"/>
  <c r="G7" i="23"/>
  <c r="H7" i="23"/>
  <c r="C7" i="32"/>
  <c r="D7" i="32"/>
  <c r="E7" i="32"/>
  <c r="F7" i="32"/>
  <c r="G7" i="32"/>
  <c r="H7" i="32"/>
  <c r="B7" i="30"/>
  <c r="B7" i="29"/>
  <c r="B7" i="27"/>
  <c r="B7" i="26"/>
  <c r="B7" i="25"/>
  <c r="B7" i="24"/>
  <c r="B7" i="23"/>
  <c r="B7" i="32"/>
  <c r="C7" i="19" l="1"/>
  <c r="D7" i="19"/>
  <c r="E7" i="19"/>
  <c r="F7" i="19"/>
  <c r="G7" i="19"/>
  <c r="H7" i="19"/>
  <c r="I7" i="19"/>
  <c r="B7" i="19"/>
  <c r="B7" i="1" l="1"/>
  <c r="B12" i="1"/>
  <c r="B4" i="1"/>
  <c r="B5" i="1"/>
  <c r="B1" i="1"/>
  <c r="B2" i="1"/>
  <c r="B8" i="1"/>
  <c r="B11" i="1"/>
  <c r="B3" i="1"/>
  <c r="B6" i="1"/>
  <c r="B9" i="1"/>
  <c r="B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B0513-C239-412A-A928-09B6A0B3A6F7}" keepAlive="1" name="查询 - whisepr_single2_log_predict_auto(no)_(1)" description="与工作簿中“whisepr_single2_log_predict_auto(no)_(1)”查询的连接。" type="5" refreshedVersion="0" background="1">
    <dbPr connection="Provider=Microsoft.Mashup.OleDb.1;Data Source=$Workbook$;Location=whisepr_single2_log_predict_auto(no)_(1);Extended Properties=&quot;&quot;" command="SELECT * FROM [whisepr_single2_log_predict_auto(no)_(1)]"/>
  </connection>
  <connection id="2" xr16:uid="{CE24596E-8AEC-4D04-B1FA-51ECACBCD984}" keepAlive="1" name="查询 - whisper_log_last1_auto(no)_(1)" description="与工作簿中“whisper_log_last1_auto(no)_(1)”查询的连接。" type="5" refreshedVersion="8" background="1" saveData="1">
    <dbPr connection="Provider=Microsoft.Mashup.OleDb.1;Data Source=$Workbook$;Location=whisper_log_last1_auto(no)_(1);Extended Properties=&quot;&quot;" command="SELECT * FROM [whisper_log_last1_auto(no)_(1)]"/>
  </connection>
  <connection id="3" xr16:uid="{801E9F8E-FE66-4422-87AC-6EB97CD342C0}" keepAlive="1" name="查询 - whisper_log_single1_auto(no)_ (2)" description="与工作簿中“whisper_log_single1_auto(no)_ (2)”查询的连接。" type="5" refreshedVersion="8" background="1" saveData="1">
    <dbPr connection="Provider=Microsoft.Mashup.OleDb.1;Data Source=$Workbook$;Location=&quot;whisper_log_single1_auto(no)_ (2)&quot;;Extended Properties=&quot;&quot;" command="SELECT * FROM [whisper_log_single1_auto(no)_ (2)]"/>
  </connection>
  <connection id="4" xr16:uid="{ACC205BB-F14C-4D8A-B191-D86AEADD758D}" keepAlive="1" name="查询 - whisper_log_single1_auto(no)_(1)" description="与工作簿中“whisper_log_single1_auto(no)_(1)”查询的连接。" type="5" refreshedVersion="0" background="1">
    <dbPr connection="Provider=Microsoft.Mashup.OleDb.1;Data Source=$Workbook$;Location=whisper_log_single1_auto(no)_(1);Extended Properties=&quot;&quot;" command="SELECT * FROM [whisper_log_single1_auto(no)_(1)]"/>
  </connection>
  <connection id="5" xr16:uid="{97DA3A4B-50A8-4CE2-A724-51D94372BC96}" keepAlive="1" name="查询 - whisper_log_single10_auto(no)_ (2)" description="与工作簿中“whisper_log_single10_auto(no)_ (2)”查询的连接。" type="5" refreshedVersion="8" background="1" saveData="1">
    <dbPr connection="Provider=Microsoft.Mashup.OleDb.1;Data Source=$Workbook$;Location=&quot;whisper_log_single10_auto(no)_ (2)&quot;;Extended Properties=&quot;&quot;" command="SELECT * FROM [whisper_log_single10_auto(no)_ (2)]"/>
  </connection>
  <connection id="6" xr16:uid="{719CC375-FD9B-4A28-842F-233520D9C401}" keepAlive="1" name="查询 - whisper_log_single10_auto(no)_(1)" description="与工作簿中“whisper_log_single10_auto(no)_(1)”查询的连接。" type="5" refreshedVersion="0" background="1">
    <dbPr connection="Provider=Microsoft.Mashup.OleDb.1;Data Source=$Workbook$;Location=whisper_log_single10_auto(no)_(1);Extended Properties=&quot;&quot;" command="SELECT * FROM [whisper_log_single10_auto(no)_(1)]"/>
  </connection>
  <connection id="7" xr16:uid="{CFDBFF1C-5977-4BE5-8A43-D034E7938B02}" keepAlive="1" name="查询 - whisper_log_single11_auto(no)_ (2)" description="与工作簿中“whisper_log_single11_auto(no)_ (2)”查询的连接。" type="5" refreshedVersion="8" background="1" saveData="1">
    <dbPr connection="Provider=Microsoft.Mashup.OleDb.1;Data Source=$Workbook$;Location=&quot;whisper_log_single11_auto(no)_ (2)&quot;;Extended Properties=&quot;&quot;" command="SELECT * FROM [whisper_log_single11_auto(no)_ (2)]"/>
  </connection>
  <connection id="8" xr16:uid="{AF03A647-A119-4EA3-8284-C778D7E81656}" keepAlive="1" name="查询 - whisper_log_single11_auto(no)_(1)" description="与工作簿中“whisper_log_single11_auto(no)_(1)”查询的连接。" type="5" refreshedVersion="0" background="1">
    <dbPr connection="Provider=Microsoft.Mashup.OleDb.1;Data Source=$Workbook$;Location=whisper_log_single11_auto(no)_(1);Extended Properties=&quot;&quot;" command="SELECT * FROM [whisper_log_single11_auto(no)_(1)]"/>
  </connection>
  <connection id="9" xr16:uid="{A60A459E-23C8-45A5-8EF3-51ED7ADD9749}" keepAlive="1" name="查询 - whisper_log_single11_auto(no)_(1)_gpu" description="与工作簿中“whisper_log_single11_auto(no)_(1)_gpu”查询的连接。" type="5" refreshedVersion="0" background="1">
    <dbPr connection="Provider=Microsoft.Mashup.OleDb.1;Data Source=$Workbook$;Location=whisper_log_single11_auto(no)_(1)_gpu;Extended Properties=&quot;&quot;" command="SELECT * FROM [whisper_log_single11_auto(no)_(1)_gpu]"/>
  </connection>
  <connection id="10" xr16:uid="{AD200684-2252-4141-9CFA-48B17BE2F9AC}" keepAlive="1" name="查询 - whisper_log_single11_auto(no)_(1)_gpu1" description="与工作簿中“whisper_log_single11_auto(no)_(1)_gpu1”查询的连接。" type="5" refreshedVersion="0" background="1">
    <dbPr connection="Provider=Microsoft.Mashup.OleDb.1;Data Source=$Workbook$;Location=whisper_log_single11_auto(no)_(1)_gpu1;Extended Properties=&quot;&quot;" command="SELECT * FROM [whisper_log_single11_auto(no)_(1)_gpu1]"/>
  </connection>
  <connection id="11" xr16:uid="{4A5DFA79-87C1-4C23-B744-6FFD6F0F946F}" keepAlive="1" name="查询 - whisper_log_single12_auto(no)_(1)_gpu1" description="与工作簿中“whisper_log_single12_auto(no)_(1)_gpu1”查询的连接。" type="5" refreshedVersion="0" background="1">
    <dbPr connection="Provider=Microsoft.Mashup.OleDb.1;Data Source=$Workbook$;Location=whisper_log_single12_auto(no)_(1)_gpu1;Extended Properties=&quot;&quot;" command="SELECT * FROM [whisper_log_single12_auto(no)_(1)_gpu1]"/>
  </connection>
  <connection id="12" xr16:uid="{84864C90-C751-49D4-982E-963D02DA9BE0}" keepAlive="1" name="查询 - whisper_log_single2_auto(no)_(1)" description="与工作簿中“whisper_log_single2_auto(no)_(1)”查询的连接。" type="5" refreshedVersion="8" background="1" saveData="1">
    <dbPr connection="Provider=Microsoft.Mashup.OleDb.1;Data Source=$Workbook$;Location=whisper_log_single2_auto(no)_(1);Extended Properties=&quot;&quot;" command="SELECT * FROM [whisper_log_single2_auto(no)_(1)]"/>
  </connection>
  <connection id="13" xr16:uid="{2CD78E0A-E4B0-432C-963F-745F3A5D46A9}" keepAlive="1" name="查询 - whisper_log_single3_auto(no)_(1)" description="与工作簿中“whisper_log_single3_auto(no)_(1)”查询的连接。" type="5" refreshedVersion="8" background="1" saveData="1">
    <dbPr connection="Provider=Microsoft.Mashup.OleDb.1;Data Source=$Workbook$;Location=whisper_log_single3_auto(no)_(1);Extended Properties=&quot;&quot;" command="SELECT * FROM [whisper_log_single3_auto(no)_(1)]"/>
  </connection>
  <connection id="14" xr16:uid="{D4B80868-0CD9-476B-B5E8-1EF6E167B1F8}" keepAlive="1" name="查询 - whisper_log_single4_auto(no)_(1)" description="与工作簿中“whisper_log_single4_auto(no)_(1)”查询的连接。" type="5" refreshedVersion="8" background="1" saveData="1">
    <dbPr connection="Provider=Microsoft.Mashup.OleDb.1;Data Source=$Workbook$;Location=whisper_log_single4_auto(no)_(1);Extended Properties=&quot;&quot;" command="SELECT * FROM [whisper_log_single4_auto(no)_(1)]"/>
  </connection>
  <connection id="15" xr16:uid="{F3EEB6F3-C17C-4B78-9519-2367C6209FA8}" keepAlive="1" name="查询 - whisper_log_single5_auto(no)_(1)" description="与工作簿中“whisper_log_single5_auto(no)_(1)”查询的连接。" type="5" refreshedVersion="8" background="1" saveData="1">
    <dbPr connection="Provider=Microsoft.Mashup.OleDb.1;Data Source=$Workbook$;Location=whisper_log_single5_auto(no)_(1);Extended Properties=&quot;&quot;" command="SELECT * FROM [whisper_log_single5_auto(no)_(1)]"/>
  </connection>
  <connection id="16" xr16:uid="{C11F3358-39EB-4888-B810-1B91221C5F44}" keepAlive="1" name="查询 - whisper_log_single6_auto(no)_(1)" description="与工作簿中“whisper_log_single6_auto(no)_(1)”查询的连接。" type="5" refreshedVersion="8" background="1" saveData="1">
    <dbPr connection="Provider=Microsoft.Mashup.OleDb.1;Data Source=$Workbook$;Location=whisper_log_single6_auto(no)_(1);Extended Properties=&quot;&quot;" command="SELECT * FROM [whisper_log_single6_auto(no)_(1)]"/>
  </connection>
  <connection id="17" xr16:uid="{C92BE890-67DD-4934-8EA8-212161B658BA}" keepAlive="1" name="查询 - whisper_log_single7_auto(no)_ (2)" description="与工作簿中“whisper_log_single7_auto(no)_ (2)”查询的连接。" type="5" refreshedVersion="8" background="1" saveData="1">
    <dbPr connection="Provider=Microsoft.Mashup.OleDb.1;Data Source=$Workbook$;Location=&quot;whisper_log_single7_auto(no)_ (2)&quot;;Extended Properties=&quot;&quot;" command="SELECT * FROM [whisper_log_single7_auto(no)_ (2)]"/>
  </connection>
  <connection id="18" xr16:uid="{63457490-5E07-4A3F-807F-34C29BBA0025}" keepAlive="1" name="查询 - whisper_log_single7_auto(no)_(1)" description="与工作簿中“whisper_log_single7_auto(no)_(1)”查询的连接。" type="5" refreshedVersion="0" background="1">
    <dbPr connection="Provider=Microsoft.Mashup.OleDb.1;Data Source=$Workbook$;Location=whisper_log_single7_auto(no)_(1);Extended Properties=&quot;&quot;" command="SELECT * FROM [whisper_log_single7_auto(no)_(1)]"/>
  </connection>
  <connection id="19" xr16:uid="{88BE4D92-A9C6-4BE7-86BD-DA689C7EA24C}" keepAlive="1" name="查询 - whisper_log_single8_auto(no)_(1)" description="与工作簿中“whisper_log_single8_auto(no)_(1)”查询的连接。" type="5" refreshedVersion="8" background="1" saveData="1">
    <dbPr connection="Provider=Microsoft.Mashup.OleDb.1;Data Source=$Workbook$;Location=whisper_log_single8_auto(no)_(1);Extended Properties=&quot;&quot;" command="SELECT * FROM [whisper_log_single8_auto(no)_(1)]"/>
  </connection>
  <connection id="20" xr16:uid="{C05599F0-DF0C-4B40-AB9A-BBB8F5E56CF1}" keepAlive="1" name="查询 - whisper_log_single9_auto(no)_(1)" description="与工作簿中“whisper_log_single9_auto(no)_(1)”查询的连接。" type="5" refreshedVersion="8" background="1" saveData="1">
    <dbPr connection="Provider=Microsoft.Mashup.OleDb.1;Data Source=$Workbook$;Location=whisper_log_single9_auto(no)_(1);Extended Properties=&quot;&quot;" command="SELECT * FROM [whisper_log_single9_auto(no)_(1)]"/>
  </connection>
  <connection id="21" xr16:uid="{88F14D87-4D91-4464-AD92-094A27E05A4A}" keepAlive="1" name="查询 - whisper_single1_log_auto(no)_(1)" description="与工作簿中“whisper_single1_log_auto(no)_(1)”查询的连接。" type="5" refreshedVersion="8" background="1" saveData="1">
    <dbPr connection="Provider=Microsoft.Mashup.OleDb.1;Data Source=$Workbook$;Location=whisper_single1_log_auto(no)_(1);Extended Properties=&quot;&quot;" command="SELECT * FROM [whisper_single1_log_auto(no)_(1)]"/>
  </connection>
  <connection id="22" xr16:uid="{A96C81B4-EB4C-4A3D-AA47-2AA77891027A}" keepAlive="1" name="查询 - whisper_single10_auto(no)_(1)" description="与工作簿中“whisper_single10_auto(no)_(1)”查询的连接。" type="5" refreshedVersion="8" background="1" saveData="1">
    <dbPr connection="Provider=Microsoft.Mashup.OleDb.1;Data Source=$Workbook$;Location=whisper_single10_auto(no)_(1);Extended Properties=&quot;&quot;" command="SELECT * FROM [whisper_single10_auto(no)_(1)]"/>
  </connection>
  <connection id="23" xr16:uid="{C98B3D30-842B-43FD-8D85-8F75494CEE2D}" keepAlive="1" name="查询 - whisper_single11_log_50seed_acc_h128_v512_0norm_ode250_step50" description="与工作簿中“whisper_single11_log_50seed_acc_h128_v512_0norm_ode250_step50”查询的连接。" type="5" refreshedVersion="0" background="1">
    <dbPr connection="Provider=Microsoft.Mashup.OleDb.1;Data Source=$Workbook$;Location=whisper_single11_log_50seed_acc_h128_v512_0norm_ode250_step50;Extended Properties=&quot;&quot;" command="SELECT * FROM [whisper_single11_log_50seed_acc_h128_v512_0norm_ode250_step50]"/>
  </connection>
  <connection id="24" xr16:uid="{498CCC15-233B-44BF-9495-F6BAED530691}" keepAlive="1" name="查询 - whisper_single11_log_auto(no)_ (2)" description="与工作簿中“whisper_single11_log_auto(no)_ (2)”查询的连接。" type="5" refreshedVersion="0" background="1">
    <dbPr connection="Provider=Microsoft.Mashup.OleDb.1;Data Source=$Workbook$;Location=&quot;whisper_single11_log_auto(no)_ (2)&quot;;Extended Properties=&quot;&quot;" command="SELECT * FROM [whisper_single11_log_auto(no)_ (2)]"/>
  </connection>
  <connection id="25" xr16:uid="{968EAAB0-DB13-42C1-BB9A-AAEBDBFF4DED}" keepAlive="1" name="查询 - whisper_single11_log_auto(no)_(1)" description="与工作簿中“whisper_single11_log_auto(no)_(1)”查询的连接。" type="5" refreshedVersion="8" background="1" saveData="1">
    <dbPr connection="Provider=Microsoft.Mashup.OleDb.1;Data Source=$Workbook$;Location=whisper_single11_log_auto(no)_(1);Extended Properties=&quot;&quot;" command="SELECT * FROM [whisper_single11_log_auto(no)_(1)]"/>
  </connection>
  <connection id="26" xr16:uid="{590599A7-46FD-4709-B05A-B6266717FC25}" keepAlive="1" name="查询 - whisper_single12_auto(no)_ (2)" description="与工作簿中“whisper_single12_auto(no)_ (2)”查询的连接。" type="5" refreshedVersion="0" background="1">
    <dbPr connection="Provider=Microsoft.Mashup.OleDb.1;Data Source=$Workbook$;Location=&quot;whisper_single12_auto(no)_ (2)&quot;;Extended Properties=&quot;&quot;" command="SELECT * FROM [whisper_single12_auto(no)_ (2)]"/>
  </connection>
  <connection id="27" xr16:uid="{048E6E72-6190-4F89-947E-6FE24727AC58}" keepAlive="1" name="查询 - whisper_single12_auto(no)_(1)" description="与工作簿中“whisper_single12_auto(no)_(1)”查询的连接。" type="5" refreshedVersion="8" background="1" saveData="1">
    <dbPr connection="Provider=Microsoft.Mashup.OleDb.1;Data Source=$Workbook$;Location=whisper_single12_auto(no)_(1);Extended Properties=&quot;&quot;" command="SELECT * FROM [whisper_single12_auto(no)_(1)]"/>
  </connection>
  <connection id="28" xr16:uid="{A7886F40-7013-433E-AC4D-ABFD0FE57F32}" keepAlive="1" name="查询 - whisper_single2_log_auto(no)_(1)" description="与工作簿中“whisper_single2_log_auto(no)_(1)”查询的连接。" type="5" refreshedVersion="8" background="1" saveData="1">
    <dbPr connection="Provider=Microsoft.Mashup.OleDb.1;Data Source=$Workbook$;Location=whisper_single2_log_auto(no)_(1);Extended Properties=&quot;&quot;" command="SELECT * FROM [whisper_single2_log_auto(no)_(1)]"/>
  </connection>
  <connection id="29" xr16:uid="{8091B122-7EE4-4D29-8ED2-771E9B549710}" keepAlive="1" name="查询 - whisper_single3_auto(no)_(1)" description="与工作簿中“whisper_single3_auto(no)_(1)”查询的连接。" type="5" refreshedVersion="8" background="1" saveData="1">
    <dbPr connection="Provider=Microsoft.Mashup.OleDb.1;Data Source=$Workbook$;Location=whisper_single3_auto(no)_(1);Extended Properties=&quot;&quot;" command="SELECT * FROM [whisper_single3_auto(no)_(1)]"/>
  </connection>
  <connection id="30" xr16:uid="{C69939FB-023B-47B4-8F9A-AC12531A7C53}" keepAlive="1" name="查询 - whisper_single4_log_auto(no)_(1)" description="与工作簿中“whisper_single4_log_auto(no)_(1)”查询的连接。" type="5" refreshedVersion="8" background="1" saveData="1">
    <dbPr connection="Provider=Microsoft.Mashup.OleDb.1;Data Source=$Workbook$;Location=whisper_single4_log_auto(no)_(1);Extended Properties=&quot;&quot;" command="SELECT * FROM [whisper_single4_log_auto(no)_(1)]"/>
  </connection>
  <connection id="31" xr16:uid="{CDF2445B-11DB-4F97-A42C-D2ABE1AC0370}" keepAlive="1" name="查询 - whisper_single5_auto(no)_(1)" description="与工作簿中“whisper_single5_auto(no)_(1)”查询的连接。" type="5" refreshedVersion="8" background="1" saveData="1">
    <dbPr connection="Provider=Microsoft.Mashup.OleDb.1;Data Source=$Workbook$;Location=whisper_single5_auto(no)_(1);Extended Properties=&quot;&quot;" command="SELECT * FROM [whisper_single5_auto(no)_(1)]"/>
  </connection>
  <connection id="32" xr16:uid="{51C00D7C-1F83-4C4D-9C66-98093C59D723}" keepAlive="1" name="查询 - whisper_single6_auto(no)_(1)" description="与工作簿中“whisper_single6_auto(no)_(1)”查询的连接。" type="5" refreshedVersion="8" background="1" saveData="1">
    <dbPr connection="Provider=Microsoft.Mashup.OleDb.1;Data Source=$Workbook$;Location=whisper_single6_auto(no)_(1);Extended Properties=&quot;&quot;" command="SELECT * FROM [whisper_single6_auto(no)_(1)]"/>
  </connection>
  <connection id="33" xr16:uid="{1F0F56B0-AEB2-49C7-9223-934C239A53BB}" keepAlive="1" name="查询 - whisper_single7_log_auto(no)_(1)" description="与工作簿中“whisper_single7_log_auto(no)_(1)”查询的连接。" type="5" refreshedVersion="8" background="1" saveData="1">
    <dbPr connection="Provider=Microsoft.Mashup.OleDb.1;Data Source=$Workbook$;Location=whisper_single7_log_auto(no)_(1);Extended Properties=&quot;&quot;" command="SELECT * FROM [whisper_single7_log_auto(no)_(1)]"/>
  </connection>
  <connection id="34" xr16:uid="{D357D925-5C1C-4A83-BEEE-CBFB73B566EC}" keepAlive="1" name="查询 - whisper_single8_auto(no)_(1)" description="与工作簿中“whisper_single8_auto(no)_(1)”查询的连接。" type="5" refreshedVersion="8" background="1" saveData="1">
    <dbPr connection="Provider=Microsoft.Mashup.OleDb.1;Data Source=$Workbook$;Location=whisper_single8_auto(no)_(1);Extended Properties=&quot;&quot;" command="SELECT * FROM [whisper_single8_auto(no)_(1)]"/>
  </connection>
  <connection id="35" xr16:uid="{7D3C953C-6186-4477-891B-4AC4CCF4EE93}" keepAlive="1" name="查询 - whisper_single9_log_auto(no)_(1)" description="与工作簿中“whisper_single9_log_auto(no)_(1)”查询的连接。" type="5" refreshedVersion="8" background="1" saveData="1">
    <dbPr connection="Provider=Microsoft.Mashup.OleDb.1;Data Source=$Workbook$;Location=whisper_single9_log_auto(no)_(1);Extended Properties=&quot;&quot;" command="SELECT * FROM [whisper_single9_log_auto(no)_(1)]"/>
  </connection>
</connections>
</file>

<file path=xl/sharedStrings.xml><?xml version="1.0" encoding="utf-8"?>
<sst xmlns="http://schemas.openxmlformats.org/spreadsheetml/2006/main" count="109" uniqueCount="10">
  <si>
    <t>seed</t>
  </si>
  <si>
    <t>acc_test</t>
  </si>
  <si>
    <t>f1</t>
  </si>
  <si>
    <t>precision</t>
  </si>
  <si>
    <t>recall</t>
  </si>
  <si>
    <t>acc_test_vote</t>
  </si>
  <si>
    <t>f1_vote</t>
  </si>
  <si>
    <t>precision_vote</t>
  </si>
  <si>
    <t>recall_vote</t>
  </si>
  <si>
    <t>Pitt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</si>
</sst>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0.54166666666666674</c:v>
                </c:pt>
                <c:pt idx="1">
                  <c:v>0.59375</c:v>
                </c:pt>
                <c:pt idx="2">
                  <c:v>0.59374999999999989</c:v>
                </c:pt>
                <c:pt idx="3">
                  <c:v>0.61458333333333337</c:v>
                </c:pt>
                <c:pt idx="4">
                  <c:v>0.6479166666666667</c:v>
                </c:pt>
                <c:pt idx="5">
                  <c:v>0.71250000000000013</c:v>
                </c:pt>
                <c:pt idx="6">
                  <c:v>0.73125000000000007</c:v>
                </c:pt>
                <c:pt idx="7">
                  <c:v>0.80833333333333335</c:v>
                </c:pt>
                <c:pt idx="8">
                  <c:v>0.8125</c:v>
                </c:pt>
                <c:pt idx="9">
                  <c:v>0.8125</c:v>
                </c:pt>
                <c:pt idx="10">
                  <c:v>0.82916666666666683</c:v>
                </c:pt>
                <c:pt idx="11">
                  <c:v>0.84791666666666665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D-4721-8F9C-C1B72567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180495"/>
        <c:axId val="499229855"/>
      </c:lineChart>
      <c:catAx>
        <c:axId val="1771180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9229855"/>
        <c:crosses val="autoZero"/>
        <c:auto val="1"/>
        <c:lblAlgn val="ctr"/>
        <c:lblOffset val="100"/>
        <c:noMultiLvlLbl val="0"/>
      </c:catAx>
      <c:valAx>
        <c:axId val="499229855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118049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4</xdr:row>
      <xdr:rowOff>171450</xdr:rowOff>
    </xdr:from>
    <xdr:to>
      <xdr:col>12</xdr:col>
      <xdr:colOff>152400</xdr:colOff>
      <xdr:row>20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404FDFD-00C9-D354-783C-BAD109146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D85C03E1-C015-456B-8D18-AE2A68D7085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A0A289E4-BC9B-4609-A583-A0E8DAEA12B9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0" xr16:uid="{23CD1EFF-94CF-4793-BCDC-0EDE7B6E306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9" xr16:uid="{14289F44-77F6-4FA0-BE18-B1A2E20A7A4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09A2367E-105A-410B-9DBC-87B581F8F514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9CC1C90C-B209-493A-BF91-B02F58663FFE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EEAD0C13-3AC9-4430-B6C3-BCCCE2B57ADD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64A7A82-0098-4C53-BE34-3C8AA36BE922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0EC4842-D94E-48E4-98E9-E2C5120E580E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948518F-3FAC-4CA2-95E8-FE9F2C26667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CC8B8A17-BB70-4783-ACFC-D7D25766E652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CFAD799-0BB8-4A62-95DD-003897C0A37E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01C4BBF-1808-4468-9E59-054CA6526519}" name="whisper_log_last1_auto_no___1" displayName="whisper_log_last1_auto_no___1" ref="A1:I7" tableType="queryTable" totalsRowCount="1">
  <autoFilter ref="A1:I6" xr:uid="{501C4BBF-1808-4468-9E59-054CA6526519}"/>
  <tableColumns count="9">
    <tableColumn id="1" xr3:uid="{6A898F23-2B31-4D52-A0FC-160F5ED895AE}" uniqueName="1" name="seed" queryTableFieldId="1"/>
    <tableColumn id="2" xr3:uid="{8BE71B2B-8C9D-48A2-BF62-E14057D9FB56}" uniqueName="2" name="acc_test" totalsRowFunction="average" queryTableFieldId="2"/>
    <tableColumn id="3" xr3:uid="{94DDC7FB-3174-4BA7-9986-64997CB226BC}" uniqueName="3" name="f1" totalsRowFunction="average" queryTableFieldId="3"/>
    <tableColumn id="4" xr3:uid="{811F1420-B7AA-4256-9602-F7C004F719CA}" uniqueName="4" name="precision" totalsRowFunction="average" queryTableFieldId="4"/>
    <tableColumn id="5" xr3:uid="{3254682B-C867-4C6F-BC70-43F8E2752B00}" uniqueName="5" name="recall" totalsRowFunction="average" queryTableFieldId="5"/>
    <tableColumn id="6" xr3:uid="{8F6F2203-7C7B-41D5-95B1-4B3D48A9194D}" uniqueName="6" name="acc_test_vote" totalsRowFunction="average" queryTableFieldId="6"/>
    <tableColumn id="7" xr3:uid="{82CAA673-91C7-49BA-B999-794FF3164A98}" uniqueName="7" name="f1_vote" totalsRowFunction="average" queryTableFieldId="7"/>
    <tableColumn id="8" xr3:uid="{FABA88E6-1E1D-4846-81CE-2AFFC902FDCD}" uniqueName="8" name="precision_vote" totalsRowFunction="average" queryTableFieldId="8"/>
    <tableColumn id="9" xr3:uid="{C8793330-BAF4-41A6-83D4-E91907AC933A}" uniqueName="9" name="recall_vote" totalsRowFunction="averag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8D5449B-A280-4A85-BC56-E07C783D5F8A}" name="whisper_log_single11_auto_no____2" displayName="whisper_log_single11_auto_no____2" ref="A1:I6" tableType="queryTable" totalsRowShown="0">
  <autoFilter ref="A1:I6" xr:uid="{28D5449B-A280-4A85-BC56-E07C783D5F8A}"/>
  <tableColumns count="9">
    <tableColumn id="1" xr3:uid="{59CF9F8D-5AA1-404C-BC5E-168932FD9156}" uniqueName="1" name="seed" queryTableFieldId="1"/>
    <tableColumn id="2" xr3:uid="{8A042ED3-658D-458D-B2CE-9630A242F8CC}" uniqueName="2" name="acc_test" queryTableFieldId="2"/>
    <tableColumn id="3" xr3:uid="{A126382A-9C1C-42C6-9848-DA1CFE844909}" uniqueName="3" name="f1" queryTableFieldId="3"/>
    <tableColumn id="4" xr3:uid="{F3C72BE3-8767-4DC0-80BA-A31CDCE64C08}" uniqueName="4" name="precision" queryTableFieldId="4"/>
    <tableColumn id="5" xr3:uid="{A8CBF8FD-FC56-4FDA-B93D-11702D5B56AE}" uniqueName="5" name="recall" queryTableFieldId="5"/>
    <tableColumn id="6" xr3:uid="{1D177765-452E-431F-9034-972C15E65586}" uniqueName="6" name="acc_test_vote" queryTableFieldId="6"/>
    <tableColumn id="7" xr3:uid="{2E876729-181A-4078-8394-E786C6F06DC0}" uniqueName="7" name="f1_vote" queryTableFieldId="7"/>
    <tableColumn id="8" xr3:uid="{FC25A2D9-1C07-4909-A0A6-BE2FDFFB9405}" uniqueName="8" name="precision_vote" queryTableFieldId="8"/>
    <tableColumn id="9" xr3:uid="{0B0A734E-34DD-420C-A9A3-1AFAE3F47D3A}" uniqueName="9" name="recall_vot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A8AFF55-0234-4FD6-B849-D0FF95AEF493}" name="whisper_log_single9_auto_no___1" displayName="whisper_log_single9_auto_no___1" ref="A1:I6" tableType="queryTable" totalsRowShown="0">
  <autoFilter ref="A1:I6" xr:uid="{4A8AFF55-0234-4FD6-B849-D0FF95AEF493}"/>
  <tableColumns count="9">
    <tableColumn id="1" xr3:uid="{9969E8BF-56FE-4EA7-9BFA-6F37F96EF0E3}" uniqueName="1" name="seed" queryTableFieldId="1"/>
    <tableColumn id="2" xr3:uid="{0883FC2F-DEF9-4C86-9D3C-1FEC322F7FC7}" uniqueName="2" name="acc_test" queryTableFieldId="2"/>
    <tableColumn id="3" xr3:uid="{77D8E943-4F80-452E-9752-1EF0CB172C37}" uniqueName="3" name="f1" queryTableFieldId="3"/>
    <tableColumn id="4" xr3:uid="{C81EB3A3-80E6-4D05-9C72-B0DE22B959D3}" uniqueName="4" name="precision" queryTableFieldId="4"/>
    <tableColumn id="5" xr3:uid="{1A37B4B9-4DDE-4AAD-A0CA-AB9C777F346B}" uniqueName="5" name="recall" queryTableFieldId="5"/>
    <tableColumn id="6" xr3:uid="{C0429147-A629-437E-95B3-660369609AFE}" uniqueName="6" name="acc_test_vote" queryTableFieldId="6"/>
    <tableColumn id="7" xr3:uid="{F16A5321-2C71-4CBF-970F-BD00FC6A26C2}" uniqueName="7" name="f1_vote" queryTableFieldId="7"/>
    <tableColumn id="8" xr3:uid="{39CA6DA7-BC66-4F4F-A52E-4A5D15965F63}" uniqueName="8" name="precision_vote" queryTableFieldId="8"/>
    <tableColumn id="9" xr3:uid="{EABA83D8-4650-4D21-976D-5BF4FFE510A5}" uniqueName="9" name="recall_vot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5E17707-671C-4DCA-96BE-0131E29A6588}" name="whisper_log_single8_auto_no___1" displayName="whisper_log_single8_auto_no___1" ref="A1:I6" tableType="queryTable" totalsRowShown="0">
  <autoFilter ref="A1:I6" xr:uid="{15E17707-671C-4DCA-96BE-0131E29A6588}"/>
  <tableColumns count="9">
    <tableColumn id="1" xr3:uid="{45B63B70-A702-4D03-8979-9DDD69E77ABB}" uniqueName="1" name="seed" queryTableFieldId="1"/>
    <tableColumn id="2" xr3:uid="{28A990AF-83D5-4A57-A187-7DCB23404C7C}" uniqueName="2" name="acc_test" queryTableFieldId="2"/>
    <tableColumn id="3" xr3:uid="{C9689643-6EEB-4564-91C6-1D58D791F27B}" uniqueName="3" name="f1" queryTableFieldId="3"/>
    <tableColumn id="4" xr3:uid="{1AFAA629-081D-4F74-9D76-FC5ECF961F0B}" uniqueName="4" name="precision" queryTableFieldId="4"/>
    <tableColumn id="5" xr3:uid="{994046B6-0624-430F-87D7-FA860594E6C2}" uniqueName="5" name="recall" queryTableFieldId="5"/>
    <tableColumn id="6" xr3:uid="{7FFD2482-0086-41AC-97CA-10DA73F38157}" uniqueName="6" name="acc_test_vote" queryTableFieldId="6"/>
    <tableColumn id="7" xr3:uid="{7237B11F-2A93-4D12-9108-CD89170625B9}" uniqueName="7" name="f1_vote" queryTableFieldId="7"/>
    <tableColumn id="8" xr3:uid="{4BC1C732-8F0B-4C49-924D-AF5EEFD67FA6}" uniqueName="8" name="precision_vote" queryTableFieldId="8"/>
    <tableColumn id="9" xr3:uid="{D4213553-908D-4744-8E71-44D9A6032FC1}" uniqueName="9" name="recall_vot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4227263-66DF-469D-9D2A-A885866D3CE1}" name="whisper_log_single6_auto_no___1" displayName="whisper_log_single6_auto_no___1" ref="A1:I6" tableType="queryTable" totalsRowShown="0">
  <autoFilter ref="A1:I6" xr:uid="{84227263-66DF-469D-9D2A-A885866D3CE1}"/>
  <tableColumns count="9">
    <tableColumn id="1" xr3:uid="{1C37B1EC-C871-4394-8A83-1BD6D0011973}" uniqueName="1" name="seed" queryTableFieldId="1"/>
    <tableColumn id="2" xr3:uid="{477E7974-23A5-45C9-A9C4-B4B6552ADB80}" uniqueName="2" name="acc_test" queryTableFieldId="2"/>
    <tableColumn id="3" xr3:uid="{C58B9A0B-3A6F-4DB0-BB2B-23C69D1E14D6}" uniqueName="3" name="f1" queryTableFieldId="3"/>
    <tableColumn id="4" xr3:uid="{202641C3-2A1D-4652-B0D0-755CAAE9F02F}" uniqueName="4" name="precision" queryTableFieldId="4"/>
    <tableColumn id="5" xr3:uid="{3DB6799A-D46B-40F3-B15A-7FC5CBBD47A0}" uniqueName="5" name="recall" queryTableFieldId="5"/>
    <tableColumn id="6" xr3:uid="{33FD1AAC-B1A4-413E-9E4F-265F76C15AE2}" uniqueName="6" name="acc_test_vote" queryTableFieldId="6"/>
    <tableColumn id="7" xr3:uid="{D9CBA50A-AC6D-4041-A91C-9E8B3FBE430B}" uniqueName="7" name="f1_vote" queryTableFieldId="7"/>
    <tableColumn id="8" xr3:uid="{ECF718C2-AF6F-4B12-87D7-E407E71952E4}" uniqueName="8" name="precision_vote" queryTableFieldId="8"/>
    <tableColumn id="9" xr3:uid="{45325484-5845-45C7-8311-B30EA39A4C23}" uniqueName="9" name="recall_vot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AFE2587-433A-4391-810B-7EF9B083ED40}" name="whisper_log_single5_auto_no___1" displayName="whisper_log_single5_auto_no___1" ref="A1:I6" tableType="queryTable" totalsRowShown="0">
  <autoFilter ref="A1:I6" xr:uid="{4AFE2587-433A-4391-810B-7EF9B083ED40}"/>
  <tableColumns count="9">
    <tableColumn id="1" xr3:uid="{78BC893A-F087-47E6-B9A1-D0C1E9E2B3A9}" uniqueName="1" name="seed" queryTableFieldId="1"/>
    <tableColumn id="2" xr3:uid="{6FE64DAB-D445-4B92-85AB-86691F535FCF}" uniqueName="2" name="acc_test" queryTableFieldId="2"/>
    <tableColumn id="3" xr3:uid="{65D6A5BC-DB18-46F5-B53E-5440A4800876}" uniqueName="3" name="f1" queryTableFieldId="3"/>
    <tableColumn id="4" xr3:uid="{919B1D51-6D02-497D-8CAE-A8FD4D34929F}" uniqueName="4" name="precision" queryTableFieldId="4"/>
    <tableColumn id="5" xr3:uid="{6943725E-15D4-47AB-9C6C-F8086C923922}" uniqueName="5" name="recall" queryTableFieldId="5"/>
    <tableColumn id="6" xr3:uid="{B8F11B9F-E20C-4B7C-ACC1-442336B4B522}" uniqueName="6" name="acc_test_vote" queryTableFieldId="6"/>
    <tableColumn id="7" xr3:uid="{8D151332-B2B4-4668-90FE-7FDB255F7418}" uniqueName="7" name="f1_vote" queryTableFieldId="7"/>
    <tableColumn id="8" xr3:uid="{478F71F6-544B-4A58-AF71-9C8CA4A13595}" uniqueName="8" name="precision_vote" queryTableFieldId="8"/>
    <tableColumn id="9" xr3:uid="{94D82307-E952-4E1E-AC1E-90BC12FA4985}" uniqueName="9" name="recall_vot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F16A8EE-9A0D-4BC1-BE06-D7DFC59CF59E}" name="whisper_log_single4_auto_no___1" displayName="whisper_log_single4_auto_no___1" ref="A1:I6" tableType="queryTable" totalsRowShown="0">
  <autoFilter ref="A1:I6" xr:uid="{5F16A8EE-9A0D-4BC1-BE06-D7DFC59CF59E}"/>
  <tableColumns count="9">
    <tableColumn id="1" xr3:uid="{D60053DD-C9C5-402C-B1D5-4065355887C8}" uniqueName="1" name="seed" queryTableFieldId="1"/>
    <tableColumn id="2" xr3:uid="{00A1A3EF-4C7D-4C48-9BAB-E64765B18EBB}" uniqueName="2" name="acc_test" queryTableFieldId="2"/>
    <tableColumn id="3" xr3:uid="{B7B4EFB2-08A1-4B20-A395-C08269773C52}" uniqueName="3" name="f1" queryTableFieldId="3"/>
    <tableColumn id="4" xr3:uid="{C94105E9-E59E-4FC9-ABB2-A5468C2FA9A6}" uniqueName="4" name="precision" queryTableFieldId="4"/>
    <tableColumn id="5" xr3:uid="{D1031CF7-FFE3-41E0-B8C1-C8D0E46750D0}" uniqueName="5" name="recall" queryTableFieldId="5"/>
    <tableColumn id="6" xr3:uid="{2C5E95FF-94B3-4BD0-A237-BCF90DB45CBB}" uniqueName="6" name="acc_test_vote" queryTableFieldId="6"/>
    <tableColumn id="7" xr3:uid="{FFA4FD6E-F8E6-463C-B5DF-FF55B106E19D}" uniqueName="7" name="f1_vote" queryTableFieldId="7"/>
    <tableColumn id="8" xr3:uid="{F9587BC3-D0E8-4C76-8316-93A0A85AFBE3}" uniqueName="8" name="precision_vote" queryTableFieldId="8"/>
    <tableColumn id="9" xr3:uid="{A1B1484A-187B-4033-A4BD-AE2B0B51C145}" uniqueName="9" name="recall_vot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9722C6A-A079-42AA-B646-B6805FC2073F}" name="whisper_log_single3_auto_no___1" displayName="whisper_log_single3_auto_no___1" ref="A1:I6" tableType="queryTable" totalsRowShown="0">
  <autoFilter ref="A1:I6" xr:uid="{B9722C6A-A079-42AA-B646-B6805FC2073F}"/>
  <tableColumns count="9">
    <tableColumn id="1" xr3:uid="{3F07484A-C15F-46AA-846A-85D4A603E0C9}" uniqueName="1" name="seed" queryTableFieldId="1"/>
    <tableColumn id="2" xr3:uid="{10713AC4-C8D5-479E-BEED-97061346A99E}" uniqueName="2" name="acc_test" queryTableFieldId="2"/>
    <tableColumn id="3" xr3:uid="{8A3939A0-3222-49AB-8B35-0887581E37F3}" uniqueName="3" name="f1" queryTableFieldId="3"/>
    <tableColumn id="4" xr3:uid="{6AB92B1F-E84A-406B-AAE4-97BF4193E38F}" uniqueName="4" name="precision" queryTableFieldId="4"/>
    <tableColumn id="5" xr3:uid="{2E77955E-0930-41ED-ABEC-68D67AC1BC06}" uniqueName="5" name="recall" queryTableFieldId="5"/>
    <tableColumn id="6" xr3:uid="{D5CEA9FB-6896-4119-A059-3B1D00196A3C}" uniqueName="6" name="acc_test_vote" queryTableFieldId="6"/>
    <tableColumn id="7" xr3:uid="{60E3EA7A-550A-474D-A918-12820E88FBE2}" uniqueName="7" name="f1_vote" queryTableFieldId="7"/>
    <tableColumn id="8" xr3:uid="{DDF63E5A-7C1F-46BB-93A0-1A85E71F224E}" uniqueName="8" name="precision_vote" queryTableFieldId="8"/>
    <tableColumn id="9" xr3:uid="{7B938629-56AB-4B3A-86A2-7887C792E193}" uniqueName="9" name="recall_vot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67EFB04-B38C-4563-8E56-C0AF72125D06}" name="whisper_log_single2_auto_no___1" displayName="whisper_log_single2_auto_no___1" ref="A1:I6" tableType="queryTable" totalsRowShown="0">
  <autoFilter ref="A1:I6" xr:uid="{367EFB04-B38C-4563-8E56-C0AF72125D06}"/>
  <tableColumns count="9">
    <tableColumn id="1" xr3:uid="{431B38A9-3059-46E7-A3B3-D8E256AD6F8F}" uniqueName="1" name="seed" queryTableFieldId="1"/>
    <tableColumn id="2" xr3:uid="{1D8F2957-973D-4741-A256-6D49429FD88D}" uniqueName="2" name="acc_test" queryTableFieldId="2"/>
    <tableColumn id="3" xr3:uid="{F2501E05-FD51-4623-A8E4-49F701D93E07}" uniqueName="3" name="f1" queryTableFieldId="3"/>
    <tableColumn id="4" xr3:uid="{94CC3AE4-844C-46AF-BA7B-2E6717E35BCF}" uniqueName="4" name="precision" queryTableFieldId="4"/>
    <tableColumn id="5" xr3:uid="{C96B3C61-E48E-4191-BC09-183B133B98B9}" uniqueName="5" name="recall" queryTableFieldId="5"/>
    <tableColumn id="6" xr3:uid="{C402B432-5FF2-4750-83E1-3F1F7AE80778}" uniqueName="6" name="acc_test_vote" queryTableFieldId="6"/>
    <tableColumn id="7" xr3:uid="{293C1B99-4983-4944-80CC-21AAD12A0534}" uniqueName="7" name="f1_vote" queryTableFieldId="7"/>
    <tableColumn id="8" xr3:uid="{DB9A6246-8EB1-487F-92A2-1BFA21BF2D5A}" uniqueName="8" name="precision_vote" queryTableFieldId="8"/>
    <tableColumn id="9" xr3:uid="{47DE31B4-9FE1-478D-BE17-15C4B8E4C9D6}" uniqueName="9" name="recall_vot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79BEEF8-8953-4ED7-9D14-7F8C837F968E}" name="whisper_log_single1_auto_no____2" displayName="whisper_log_single1_auto_no____2" ref="A1:I7" tableType="queryTable" totalsRowCount="1">
  <autoFilter ref="A1:I6" xr:uid="{E79BEEF8-8953-4ED7-9D14-7F8C837F968E}"/>
  <tableColumns count="9">
    <tableColumn id="1" xr3:uid="{D098DBD7-B8EE-4081-AEAC-E692D32639AB}" uniqueName="1" name="seed" queryTableFieldId="1"/>
    <tableColumn id="2" xr3:uid="{9782B3F8-1682-42C1-A22D-B652DFF2B4E6}" uniqueName="2" name="acc_test" totalsRowFunction="average" queryTableFieldId="2"/>
    <tableColumn id="3" xr3:uid="{6D0F85D8-7722-428E-A9D2-212DA8FBE666}" uniqueName="3" name="f1" totalsRowFunction="average" queryTableFieldId="3"/>
    <tableColumn id="4" xr3:uid="{76EAD9A0-F2BF-4DAB-A90A-9ED0222F8348}" uniqueName="4" name="precision" totalsRowFunction="average" queryTableFieldId="4"/>
    <tableColumn id="5" xr3:uid="{29B448DA-1176-484E-9862-1DF6F319E340}" uniqueName="5" name="recall" totalsRowFunction="average" queryTableFieldId="5"/>
    <tableColumn id="6" xr3:uid="{0385013B-85E5-4532-ADDF-7DF54A58F739}" uniqueName="6" name="acc_test_vote" totalsRowFunction="average" queryTableFieldId="6"/>
    <tableColumn id="7" xr3:uid="{8D45CE83-6E20-4A91-A6D6-87B0612EEB69}" uniqueName="7" name="f1_vote" totalsRowFunction="average" queryTableFieldId="7"/>
    <tableColumn id="8" xr3:uid="{A0C8CE31-02AC-414A-A176-0AAC088CD249}" uniqueName="8" name="precision_vote" totalsRowFunction="average" queryTableFieldId="8"/>
    <tableColumn id="9" xr3:uid="{2D3253E5-E57D-47D4-AA1F-B7F95F166DE4}" uniqueName="9" name="recall_vote" totalsRowFunction="averag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E221B19-2FB2-42D1-831A-1A88E9C92497}" name="whisper_log_single7_auto_no____2" displayName="whisper_log_single7_auto_no____2" ref="A1:I6" tableType="queryTable" totalsRowShown="0">
  <autoFilter ref="A1:I6" xr:uid="{AE221B19-2FB2-42D1-831A-1A88E9C92497}"/>
  <tableColumns count="9">
    <tableColumn id="1" xr3:uid="{B3392BDB-8772-42D1-A1B6-B6FC59A72969}" uniqueName="1" name="seed" queryTableFieldId="1"/>
    <tableColumn id="2" xr3:uid="{6E98DF9F-8110-495D-BCBD-43B85FD0D9DE}" uniqueName="2" name="acc_test" queryTableFieldId="2"/>
    <tableColumn id="3" xr3:uid="{20FB1BC9-5213-4912-992A-F265D643F13E}" uniqueName="3" name="f1" queryTableFieldId="3"/>
    <tableColumn id="4" xr3:uid="{C9F5EE78-E689-40FA-8AD8-545ADE28ECCC}" uniqueName="4" name="precision" queryTableFieldId="4"/>
    <tableColumn id="5" xr3:uid="{DDBC4F1E-5231-44E4-ADF8-5B6ED375A772}" uniqueName="5" name="recall" queryTableFieldId="5"/>
    <tableColumn id="6" xr3:uid="{242294E9-ECC5-47CA-BBC0-281DECA91A68}" uniqueName="6" name="acc_test_vote" queryTableFieldId="6"/>
    <tableColumn id="7" xr3:uid="{B405302B-D675-45E5-A7ED-D4AD3FDC9EA2}" uniqueName="7" name="f1_vote" queryTableFieldId="7"/>
    <tableColumn id="8" xr3:uid="{D839FE48-EE3E-4721-B06D-233096C4FDCA}" uniqueName="8" name="precision_vote" queryTableFieldId="8"/>
    <tableColumn id="9" xr3:uid="{62515AB0-67F3-42C0-9097-3C2A11444FD3}" uniqueName="9" name="recall_vot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F700E6B-77CA-4D2F-846A-99458C2D9609}" name="whisper_log_single10_auto_no____2" displayName="whisper_log_single10_auto_no____2" ref="A1:I6" tableType="queryTable" totalsRowShown="0">
  <autoFilter ref="A1:I6" xr:uid="{FF700E6B-77CA-4D2F-846A-99458C2D9609}"/>
  <tableColumns count="9">
    <tableColumn id="1" xr3:uid="{83B0E5BD-3EC6-4655-B469-6F7F46DFB6A0}" uniqueName="1" name="seed" queryTableFieldId="1"/>
    <tableColumn id="2" xr3:uid="{52920541-9573-4FB4-B6BC-B9D77A4123BE}" uniqueName="2" name="acc_test" queryTableFieldId="2"/>
    <tableColumn id="3" xr3:uid="{B3C86155-72CE-4FAD-9098-3619D0F28240}" uniqueName="3" name="f1" queryTableFieldId="3"/>
    <tableColumn id="4" xr3:uid="{655B2497-3294-46A7-B3DF-04468FF8A172}" uniqueName="4" name="precision" queryTableFieldId="4"/>
    <tableColumn id="5" xr3:uid="{85BEDE38-1E48-4C4E-8FBD-DC775804E29C}" uniqueName="5" name="recall" queryTableFieldId="5"/>
    <tableColumn id="6" xr3:uid="{478E70E7-3574-42F3-820D-DE01F4DD3312}" uniqueName="6" name="acc_test_vote" queryTableFieldId="6"/>
    <tableColumn id="7" xr3:uid="{512BD6C7-02CA-437E-AAFC-643B001D6DE0}" uniqueName="7" name="f1_vote" queryTableFieldId="7"/>
    <tableColumn id="8" xr3:uid="{BA412C4E-3827-48AD-B719-A8F4961F1B82}" uniqueName="8" name="precision_vote" queryTableFieldId="8"/>
    <tableColumn id="9" xr3:uid="{25AAC505-73A5-4232-91C5-A13405F3E9FB}" uniqueName="9" name="recall_vot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BAFA-B9C4-4FF7-9474-C1946841FD30}"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0.83333333333333337</v>
      </c>
      <c r="C2">
        <v>0.85185185185185186</v>
      </c>
      <c r="D2">
        <v>0.80701754385964908</v>
      </c>
      <c r="E2">
        <v>0.90196078431372562</v>
      </c>
      <c r="F2">
        <v>0.83333333333333337</v>
      </c>
      <c r="G2">
        <v>0.83673469387755106</v>
      </c>
      <c r="H2">
        <v>0.87234042553191493</v>
      </c>
      <c r="I2">
        <v>0.80392156862745101</v>
      </c>
    </row>
    <row r="3" spans="1:9" x14ac:dyDescent="0.3">
      <c r="A3">
        <v>1002</v>
      </c>
      <c r="B3">
        <v>0.85416666666666663</v>
      </c>
      <c r="C3">
        <v>0.86274509803921573</v>
      </c>
      <c r="D3">
        <v>0.86274509803921573</v>
      </c>
      <c r="E3">
        <v>0.86274509803921573</v>
      </c>
      <c r="F3">
        <v>0.88541666666666663</v>
      </c>
      <c r="G3">
        <v>0.88421052631578945</v>
      </c>
      <c r="H3">
        <v>0.95454545454545459</v>
      </c>
      <c r="I3">
        <v>0.82352941176470584</v>
      </c>
    </row>
    <row r="4" spans="1:9" x14ac:dyDescent="0.3">
      <c r="A4">
        <v>1003</v>
      </c>
      <c r="B4">
        <v>0.8125</v>
      </c>
      <c r="C4">
        <v>0.83333333333333337</v>
      </c>
      <c r="D4">
        <v>0.78947368421052633</v>
      </c>
      <c r="E4">
        <v>0.88235294117647056</v>
      </c>
      <c r="F4">
        <v>0.85416666666666663</v>
      </c>
      <c r="G4">
        <v>0.86274509803921573</v>
      </c>
      <c r="H4">
        <v>0.86274509803921573</v>
      </c>
      <c r="I4">
        <v>0.86274509803921573</v>
      </c>
    </row>
    <row r="5" spans="1:9" x14ac:dyDescent="0.3">
      <c r="A5">
        <v>1004</v>
      </c>
      <c r="B5">
        <v>0.83333333333333337</v>
      </c>
      <c r="C5">
        <v>0.84615384615384615</v>
      </c>
      <c r="D5">
        <v>0.83018867924528306</v>
      </c>
      <c r="E5">
        <v>0.86274509803921573</v>
      </c>
      <c r="F5">
        <v>0.8125</v>
      </c>
      <c r="G5">
        <v>0.80851063829787229</v>
      </c>
      <c r="H5">
        <v>0.88372093023255816</v>
      </c>
      <c r="I5">
        <v>0.74509803921568629</v>
      </c>
    </row>
    <row r="6" spans="1:9" x14ac:dyDescent="0.3">
      <c r="A6">
        <v>1005</v>
      </c>
      <c r="B6">
        <v>0.82291666666666663</v>
      </c>
      <c r="C6">
        <v>0.84112149532710279</v>
      </c>
      <c r="D6">
        <v>0.8035714285714286</v>
      </c>
      <c r="E6">
        <v>0.88235294117647056</v>
      </c>
      <c r="F6">
        <v>0.85416666666666663</v>
      </c>
      <c r="G6">
        <v>0.86538461538461542</v>
      </c>
      <c r="H6">
        <v>0.84905660377358494</v>
      </c>
      <c r="I6">
        <v>0.88235294117647056</v>
      </c>
    </row>
    <row r="7" spans="1:9" x14ac:dyDescent="0.3">
      <c r="B7">
        <f>SUBTOTAL(101,whisper_log_last1_auto_no___1[acc_test])</f>
        <v>0.83125000000000004</v>
      </c>
      <c r="C7">
        <f>SUBTOTAL(101,whisper_log_last1_auto_no___1[f1])</f>
        <v>0.84704112494107009</v>
      </c>
      <c r="D7">
        <f>SUBTOTAL(101,whisper_log_last1_auto_no___1[precision])</f>
        <v>0.81859928678522054</v>
      </c>
      <c r="E7">
        <f>SUBTOTAL(101,whisper_log_last1_auto_no___1[recall])</f>
        <v>0.87843137254901971</v>
      </c>
      <c r="F7">
        <f>SUBTOTAL(101,whisper_log_last1_auto_no___1[acc_test_vote])</f>
        <v>0.84791666666666665</v>
      </c>
      <c r="G7">
        <f>SUBTOTAL(101,whisper_log_last1_auto_no___1[f1_vote])</f>
        <v>0.85151711438300881</v>
      </c>
      <c r="H7">
        <f>SUBTOTAL(101,whisper_log_last1_auto_no___1[precision_vote])</f>
        <v>0.8844817024245456</v>
      </c>
      <c r="I7">
        <f>SUBTOTAL(101,whisper_log_last1_auto_no___1[recall_vote])</f>
        <v>0.82352941176470584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043B-46F8-4784-A124-0D3E93145FE9}">
  <dimension ref="A1:I7"/>
  <sheetViews>
    <sheetView topLeftCell="B1" workbookViewId="0">
      <selection activeCell="D23" sqref="D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0.84375</v>
      </c>
      <c r="C2">
        <v>0.86238532110091748</v>
      </c>
      <c r="D2">
        <v>0.81034482758620685</v>
      </c>
      <c r="E2">
        <v>0.92156862745098045</v>
      </c>
      <c r="F2">
        <v>0.83333333333333337</v>
      </c>
      <c r="G2">
        <v>0.84</v>
      </c>
      <c r="H2">
        <v>0.8571428571428571</v>
      </c>
      <c r="I2">
        <v>0.82352941176470584</v>
      </c>
    </row>
    <row r="3" spans="1:9" x14ac:dyDescent="0.3">
      <c r="A3">
        <v>1002</v>
      </c>
      <c r="B3">
        <v>0.80208333333333337</v>
      </c>
      <c r="C3">
        <v>0.82242990654205606</v>
      </c>
      <c r="D3">
        <v>0.7857142857142857</v>
      </c>
      <c r="E3">
        <v>0.86274509803921573</v>
      </c>
      <c r="F3">
        <v>0.83333333333333337</v>
      </c>
      <c r="G3">
        <v>0.84</v>
      </c>
      <c r="H3">
        <v>0.8571428571428571</v>
      </c>
      <c r="I3">
        <v>0.82352941176470584</v>
      </c>
    </row>
    <row r="4" spans="1:9" x14ac:dyDescent="0.3">
      <c r="A4">
        <v>1003</v>
      </c>
      <c r="B4">
        <v>0.83333333333333337</v>
      </c>
      <c r="C4">
        <v>0.85185185185185186</v>
      </c>
      <c r="D4">
        <v>0.80701754385964908</v>
      </c>
      <c r="E4">
        <v>0.90196078431372562</v>
      </c>
      <c r="F4">
        <v>0.84375</v>
      </c>
      <c r="G4">
        <v>0.84848484848484851</v>
      </c>
      <c r="H4">
        <v>0.875</v>
      </c>
      <c r="I4">
        <v>0.82352941176470584</v>
      </c>
    </row>
    <row r="5" spans="1:9" x14ac:dyDescent="0.3">
      <c r="A5">
        <v>1004</v>
      </c>
      <c r="B5">
        <v>0.77083333333333337</v>
      </c>
      <c r="C5">
        <v>0.79629629629629628</v>
      </c>
      <c r="D5">
        <v>0.75438596491228072</v>
      </c>
      <c r="E5">
        <v>0.84313725490196079</v>
      </c>
      <c r="F5">
        <v>0.80208333333333337</v>
      </c>
      <c r="G5">
        <v>0.80412371134020622</v>
      </c>
      <c r="H5">
        <v>0.84782608695652173</v>
      </c>
      <c r="I5">
        <v>0.76470588235294112</v>
      </c>
    </row>
    <row r="6" spans="1:9" x14ac:dyDescent="0.3">
      <c r="A6">
        <v>1005</v>
      </c>
      <c r="B6">
        <v>0.80208333333333337</v>
      </c>
      <c r="C6">
        <v>0.82242990654205606</v>
      </c>
      <c r="D6">
        <v>0.7857142857142857</v>
      </c>
      <c r="E6">
        <v>0.86274509803921573</v>
      </c>
      <c r="F6">
        <v>0.83333333333333337</v>
      </c>
      <c r="G6">
        <v>0.84313725490196079</v>
      </c>
      <c r="H6">
        <v>0.84313725490196079</v>
      </c>
      <c r="I6">
        <v>0.84313725490196079</v>
      </c>
    </row>
    <row r="7" spans="1:9" x14ac:dyDescent="0.3">
      <c r="B7">
        <f>AVERAGE(B2:B6)</f>
        <v>0.81041666666666679</v>
      </c>
      <c r="C7">
        <f t="shared" ref="C7:I7" si="0">AVERAGE(C2:C6)</f>
        <v>0.83107865646663548</v>
      </c>
      <c r="D7">
        <f t="shared" si="0"/>
        <v>0.78863538155734159</v>
      </c>
      <c r="E7">
        <f t="shared" si="0"/>
        <v>0.87843137254901971</v>
      </c>
      <c r="F7">
        <f t="shared" si="0"/>
        <v>0.82916666666666683</v>
      </c>
      <c r="G7">
        <f t="shared" si="0"/>
        <v>0.83514916294540298</v>
      </c>
      <c r="H7">
        <f t="shared" si="0"/>
        <v>0.85604981122883927</v>
      </c>
      <c r="I7">
        <f t="shared" si="0"/>
        <v>0.81568627450980391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9C02-F31E-462C-A79C-66FAE677460C}">
  <dimension ref="A1:I7"/>
  <sheetViews>
    <sheetView workbookViewId="0">
      <selection activeCell="D23" sqref="D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0.82291666666666663</v>
      </c>
      <c r="C2">
        <v>0.83495145631067957</v>
      </c>
      <c r="D2">
        <v>0.82692307692307687</v>
      </c>
      <c r="E2">
        <v>0.84313725490196079</v>
      </c>
      <c r="F2">
        <v>0.83333333333333337</v>
      </c>
      <c r="G2">
        <v>0.83333333333333337</v>
      </c>
      <c r="H2">
        <v>0.88888888888888884</v>
      </c>
      <c r="I2">
        <v>0.78431372549019607</v>
      </c>
    </row>
    <row r="3" spans="1:9" x14ac:dyDescent="0.3">
      <c r="A3">
        <v>1002</v>
      </c>
      <c r="B3">
        <v>0.73958333333333337</v>
      </c>
      <c r="C3">
        <v>0.76190476190476186</v>
      </c>
      <c r="D3">
        <v>0.7407407407407407</v>
      </c>
      <c r="E3">
        <v>0.78431372549019607</v>
      </c>
      <c r="F3">
        <v>0.79166666666666663</v>
      </c>
      <c r="G3">
        <v>0.8</v>
      </c>
      <c r="H3">
        <v>0.81632653061224492</v>
      </c>
      <c r="I3">
        <v>0.78431372549019607</v>
      </c>
    </row>
    <row r="4" spans="1:9" x14ac:dyDescent="0.3">
      <c r="A4">
        <v>1003</v>
      </c>
      <c r="B4">
        <v>0.79166666666666663</v>
      </c>
      <c r="C4">
        <v>0.81132075471698117</v>
      </c>
      <c r="D4">
        <v>0.78181818181818186</v>
      </c>
      <c r="E4">
        <v>0.84313725490196079</v>
      </c>
      <c r="F4">
        <v>0.80208333333333337</v>
      </c>
      <c r="G4">
        <v>0.80808080808080807</v>
      </c>
      <c r="H4">
        <v>0.83333333333333337</v>
      </c>
      <c r="I4">
        <v>0.78431372549019607</v>
      </c>
    </row>
    <row r="5" spans="1:9" x14ac:dyDescent="0.3">
      <c r="A5">
        <v>1004</v>
      </c>
      <c r="B5">
        <v>0.82291666666666663</v>
      </c>
      <c r="C5">
        <v>0.83168316831683164</v>
      </c>
      <c r="D5">
        <v>0.84</v>
      </c>
      <c r="E5">
        <v>0.82352941176470584</v>
      </c>
      <c r="F5">
        <v>0.83333333333333337</v>
      </c>
      <c r="G5">
        <v>0.83333333333333337</v>
      </c>
      <c r="H5">
        <v>0.88888888888888884</v>
      </c>
      <c r="I5">
        <v>0.78431372549019607</v>
      </c>
    </row>
    <row r="6" spans="1:9" x14ac:dyDescent="0.3">
      <c r="A6">
        <v>1005</v>
      </c>
      <c r="B6">
        <v>0.77083333333333337</v>
      </c>
      <c r="C6">
        <v>0.78846153846153844</v>
      </c>
      <c r="D6">
        <v>0.77358490566037741</v>
      </c>
      <c r="E6">
        <v>0.80392156862745101</v>
      </c>
      <c r="F6">
        <v>0.80208333333333337</v>
      </c>
      <c r="G6">
        <v>0.80808080808080807</v>
      </c>
      <c r="H6">
        <v>0.83333333333333337</v>
      </c>
      <c r="I6">
        <v>0.78431372549019607</v>
      </c>
    </row>
    <row r="7" spans="1:9" x14ac:dyDescent="0.3">
      <c r="B7">
        <f>AVERAGE(B2:B6)</f>
        <v>0.7895833333333333</v>
      </c>
      <c r="C7">
        <f t="shared" ref="C7:I7" si="0">AVERAGE(C2:C6)</f>
        <v>0.80566433594215847</v>
      </c>
      <c r="D7">
        <f t="shared" si="0"/>
        <v>0.79261338102847534</v>
      </c>
      <c r="E7">
        <f t="shared" si="0"/>
        <v>0.81960784313725488</v>
      </c>
      <c r="F7">
        <f t="shared" si="0"/>
        <v>0.8125</v>
      </c>
      <c r="G7">
        <f t="shared" si="0"/>
        <v>0.81656565656565649</v>
      </c>
      <c r="H7">
        <f t="shared" si="0"/>
        <v>0.85215419501133793</v>
      </c>
      <c r="I7">
        <f t="shared" si="0"/>
        <v>0.78431372549019607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99ED-B675-487A-BB58-2E74EADC0EAE}">
  <dimension ref="A1:I7"/>
  <sheetViews>
    <sheetView workbookViewId="0">
      <selection activeCell="D23" sqref="D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0.82291666666666663</v>
      </c>
      <c r="C2">
        <v>0.83495145631067957</v>
      </c>
      <c r="D2">
        <v>0.82692307692307687</v>
      </c>
      <c r="E2">
        <v>0.84313725490196079</v>
      </c>
      <c r="F2">
        <v>0.83333333333333337</v>
      </c>
      <c r="G2">
        <v>0.84313725490196079</v>
      </c>
      <c r="H2">
        <v>0.84313725490196079</v>
      </c>
      <c r="I2">
        <v>0.84313725490196079</v>
      </c>
    </row>
    <row r="3" spans="1:9" x14ac:dyDescent="0.3">
      <c r="A3">
        <v>1002</v>
      </c>
      <c r="B3">
        <v>0.73958333333333337</v>
      </c>
      <c r="C3">
        <v>0.75728155339805825</v>
      </c>
      <c r="D3">
        <v>0.75</v>
      </c>
      <c r="E3">
        <v>0.76470588235294112</v>
      </c>
      <c r="F3">
        <v>0.77083333333333337</v>
      </c>
      <c r="G3">
        <v>0.77551020408163263</v>
      </c>
      <c r="H3">
        <v>0.80851063829787229</v>
      </c>
      <c r="I3">
        <v>0.74509803921568629</v>
      </c>
    </row>
    <row r="4" spans="1:9" x14ac:dyDescent="0.3">
      <c r="A4">
        <v>1003</v>
      </c>
      <c r="B4">
        <v>0.73958333333333337</v>
      </c>
      <c r="C4">
        <v>0.76635514018691586</v>
      </c>
      <c r="D4">
        <v>0.7321428571428571</v>
      </c>
      <c r="E4">
        <v>0.80392156862745101</v>
      </c>
      <c r="F4">
        <v>0.8125</v>
      </c>
      <c r="G4">
        <v>0.8125</v>
      </c>
      <c r="H4">
        <v>0.8666666666666667</v>
      </c>
      <c r="I4">
        <v>0.76470588235294112</v>
      </c>
    </row>
    <row r="5" spans="1:9" x14ac:dyDescent="0.3">
      <c r="A5">
        <v>1004</v>
      </c>
      <c r="B5">
        <v>0.79166666666666663</v>
      </c>
      <c r="C5">
        <v>0.81818181818181823</v>
      </c>
      <c r="D5">
        <v>0.76271186440677963</v>
      </c>
      <c r="E5">
        <v>0.88235294117647056</v>
      </c>
      <c r="F5">
        <v>0.8125</v>
      </c>
      <c r="G5">
        <v>0.82352941176470584</v>
      </c>
      <c r="H5">
        <v>0.82352941176470584</v>
      </c>
      <c r="I5">
        <v>0.82352941176470584</v>
      </c>
    </row>
    <row r="6" spans="1:9" x14ac:dyDescent="0.3">
      <c r="A6">
        <v>1005</v>
      </c>
      <c r="B6">
        <v>0.80208333333333337</v>
      </c>
      <c r="C6">
        <v>0.8288288288288288</v>
      </c>
      <c r="D6">
        <v>0.76666666666666672</v>
      </c>
      <c r="E6">
        <v>0.90196078431372551</v>
      </c>
      <c r="F6">
        <v>0.8125</v>
      </c>
      <c r="G6">
        <v>0.82692307692307687</v>
      </c>
      <c r="H6">
        <v>0.81132075471698117</v>
      </c>
      <c r="I6">
        <v>0.84313725490196079</v>
      </c>
    </row>
    <row r="7" spans="1:9" x14ac:dyDescent="0.3">
      <c r="B7">
        <f>AVERAGE(B2:B6)</f>
        <v>0.77916666666666667</v>
      </c>
      <c r="C7">
        <f t="shared" ref="C7:I7" si="0">AVERAGE(C2:C6)</f>
        <v>0.80111975938126023</v>
      </c>
      <c r="D7">
        <f t="shared" si="0"/>
        <v>0.76768889302787602</v>
      </c>
      <c r="E7">
        <f t="shared" si="0"/>
        <v>0.83921568627450982</v>
      </c>
      <c r="F7">
        <f t="shared" si="0"/>
        <v>0.80833333333333335</v>
      </c>
      <c r="G7">
        <f t="shared" si="0"/>
        <v>0.8163199895342752</v>
      </c>
      <c r="H7">
        <f t="shared" si="0"/>
        <v>0.83063294526963749</v>
      </c>
      <c r="I7">
        <f t="shared" si="0"/>
        <v>0.80392156862745101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8477-28E4-4AC5-A81E-E59BE05115DD}">
  <dimension ref="A1:I7"/>
  <sheetViews>
    <sheetView workbookViewId="0">
      <selection activeCell="D23" sqref="D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0.6875</v>
      </c>
      <c r="C2">
        <v>0.7321428571428571</v>
      </c>
      <c r="D2">
        <v>0.67213114754098358</v>
      </c>
      <c r="E2">
        <v>0.80392156862745101</v>
      </c>
      <c r="F2">
        <v>0.71875</v>
      </c>
      <c r="G2">
        <v>0.74285714285714288</v>
      </c>
      <c r="H2">
        <v>0.72222222222222221</v>
      </c>
      <c r="I2">
        <v>0.76470588235294112</v>
      </c>
    </row>
    <row r="3" spans="1:9" x14ac:dyDescent="0.3">
      <c r="A3">
        <v>1002</v>
      </c>
      <c r="B3">
        <v>0.71875</v>
      </c>
      <c r="C3">
        <v>0.76521739130434785</v>
      </c>
      <c r="D3">
        <v>0.6875</v>
      </c>
      <c r="E3">
        <v>0.86274509803921573</v>
      </c>
      <c r="F3">
        <v>0.75</v>
      </c>
      <c r="G3">
        <v>0.76923076923076927</v>
      </c>
      <c r="H3">
        <v>0.75471698113207553</v>
      </c>
      <c r="I3">
        <v>0.78431372549019607</v>
      </c>
    </row>
    <row r="4" spans="1:9" x14ac:dyDescent="0.3">
      <c r="A4">
        <v>1003</v>
      </c>
      <c r="B4">
        <v>0.69791666666666663</v>
      </c>
      <c r="C4">
        <v>0.74336283185840712</v>
      </c>
      <c r="D4">
        <v>0.67741935483870963</v>
      </c>
      <c r="E4">
        <v>0.82352941176470584</v>
      </c>
      <c r="F4">
        <v>0.67708333333333337</v>
      </c>
      <c r="G4">
        <v>0.71028037383177567</v>
      </c>
      <c r="H4">
        <v>0.6785714285714286</v>
      </c>
      <c r="I4">
        <v>0.74509803921568629</v>
      </c>
    </row>
    <row r="5" spans="1:9" x14ac:dyDescent="0.3">
      <c r="A5">
        <v>1004</v>
      </c>
      <c r="B5">
        <v>0.65625</v>
      </c>
      <c r="C5">
        <v>0.71304347826086956</v>
      </c>
      <c r="D5">
        <v>0.640625</v>
      </c>
      <c r="E5">
        <v>0.80392156862745101</v>
      </c>
      <c r="F5">
        <v>0.70833333333333337</v>
      </c>
      <c r="G5">
        <v>0.73076923076923073</v>
      </c>
      <c r="H5">
        <v>0.71698113207547165</v>
      </c>
      <c r="I5">
        <v>0.74509803921568629</v>
      </c>
    </row>
    <row r="6" spans="1:9" x14ac:dyDescent="0.3">
      <c r="A6">
        <v>1005</v>
      </c>
      <c r="B6">
        <v>0.72916666666666663</v>
      </c>
      <c r="C6">
        <v>0.7678571428571429</v>
      </c>
      <c r="D6">
        <v>0.70491803278688525</v>
      </c>
      <c r="E6">
        <v>0.84313725490196079</v>
      </c>
      <c r="F6">
        <v>0.70833333333333337</v>
      </c>
      <c r="G6">
        <v>0.72549019607843135</v>
      </c>
      <c r="H6">
        <v>0.72549019607843135</v>
      </c>
      <c r="I6">
        <v>0.72549019607843135</v>
      </c>
    </row>
    <row r="7" spans="1:9" x14ac:dyDescent="0.3">
      <c r="B7">
        <f>AVERAGE(B2:B6)</f>
        <v>0.69791666666666663</v>
      </c>
      <c r="C7">
        <f t="shared" ref="C7:I7" si="0">AVERAGE(C2:C6)</f>
        <v>0.74432474028472484</v>
      </c>
      <c r="D7">
        <f t="shared" si="0"/>
        <v>0.67651870703331574</v>
      </c>
      <c r="E7">
        <f t="shared" si="0"/>
        <v>0.82745098039215681</v>
      </c>
      <c r="F7">
        <f t="shared" si="0"/>
        <v>0.71250000000000013</v>
      </c>
      <c r="G7">
        <f t="shared" si="0"/>
        <v>0.73572554255347</v>
      </c>
      <c r="H7">
        <f t="shared" si="0"/>
        <v>0.71959639201592585</v>
      </c>
      <c r="I7">
        <f t="shared" si="0"/>
        <v>0.75294117647058822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1D01-A48B-4558-8423-2CF0CA88CF0C}">
  <dimension ref="A1:I7"/>
  <sheetViews>
    <sheetView workbookViewId="0">
      <selection activeCell="D23" sqref="D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0.63541666666666663</v>
      </c>
      <c r="C2">
        <v>0.69026548672566368</v>
      </c>
      <c r="D2">
        <v>0.62903225806451613</v>
      </c>
      <c r="E2">
        <v>0.76470588235294112</v>
      </c>
      <c r="F2">
        <v>0.66666666666666663</v>
      </c>
      <c r="G2">
        <v>0.68627450980392157</v>
      </c>
      <c r="H2">
        <v>0.68627450980392157</v>
      </c>
      <c r="I2">
        <v>0.68627450980392157</v>
      </c>
    </row>
    <row r="3" spans="1:9" x14ac:dyDescent="0.3">
      <c r="A3">
        <v>1002</v>
      </c>
      <c r="B3">
        <v>0.67708333333333337</v>
      </c>
      <c r="C3">
        <v>0.71028037383177567</v>
      </c>
      <c r="D3">
        <v>0.6785714285714286</v>
      </c>
      <c r="E3">
        <v>0.74509803921568629</v>
      </c>
      <c r="F3">
        <v>0.66666666666666663</v>
      </c>
      <c r="G3">
        <v>0.68</v>
      </c>
      <c r="H3">
        <v>0.69387755102040816</v>
      </c>
      <c r="I3">
        <v>0.66666666666666663</v>
      </c>
    </row>
    <row r="4" spans="1:9" x14ac:dyDescent="0.3">
      <c r="A4">
        <v>1003</v>
      </c>
      <c r="B4">
        <v>0.61458333333333337</v>
      </c>
      <c r="C4">
        <v>0.66055045871559637</v>
      </c>
      <c r="D4">
        <v>0.62068965517241381</v>
      </c>
      <c r="E4">
        <v>0.70588235294117652</v>
      </c>
      <c r="F4">
        <v>0.625</v>
      </c>
      <c r="G4">
        <v>0.64</v>
      </c>
      <c r="H4">
        <v>0.65306122448979587</v>
      </c>
      <c r="I4">
        <v>0.62745098039215685</v>
      </c>
    </row>
    <row r="5" spans="1:9" x14ac:dyDescent="0.3">
      <c r="A5">
        <v>1004</v>
      </c>
      <c r="B5">
        <v>0.64583333333333337</v>
      </c>
      <c r="C5">
        <v>0.68518518518518523</v>
      </c>
      <c r="D5">
        <v>0.64912280701754388</v>
      </c>
      <c r="E5">
        <v>0.72549019607843135</v>
      </c>
      <c r="F5">
        <v>0.66666666666666663</v>
      </c>
      <c r="G5">
        <v>0.67346938775510201</v>
      </c>
      <c r="H5">
        <v>0.7021276595744681</v>
      </c>
      <c r="I5">
        <v>0.6470588235294118</v>
      </c>
    </row>
    <row r="6" spans="1:9" x14ac:dyDescent="0.3">
      <c r="A6">
        <v>1005</v>
      </c>
      <c r="B6">
        <v>0.64583333333333337</v>
      </c>
      <c r="C6">
        <v>0.68518518518518523</v>
      </c>
      <c r="D6">
        <v>0.64912280701754388</v>
      </c>
      <c r="E6">
        <v>0.72549019607843135</v>
      </c>
      <c r="F6">
        <v>0.61458333333333337</v>
      </c>
      <c r="G6">
        <v>0.61855670103092786</v>
      </c>
      <c r="H6">
        <v>0.65217391304347827</v>
      </c>
      <c r="I6">
        <v>0.58823529411764708</v>
      </c>
    </row>
    <row r="7" spans="1:9" x14ac:dyDescent="0.3">
      <c r="B7">
        <f>AVERAGE(B2:B6)</f>
        <v>0.64375000000000004</v>
      </c>
      <c r="C7">
        <f t="shared" ref="C7:I7" si="0">AVERAGE(C2:C6)</f>
        <v>0.68629333792868119</v>
      </c>
      <c r="D7">
        <f t="shared" si="0"/>
        <v>0.64530779116868919</v>
      </c>
      <c r="E7">
        <f t="shared" si="0"/>
        <v>0.73333333333333339</v>
      </c>
      <c r="F7">
        <f t="shared" si="0"/>
        <v>0.6479166666666667</v>
      </c>
      <c r="G7">
        <f t="shared" si="0"/>
        <v>0.65966011971799032</v>
      </c>
      <c r="H7">
        <f t="shared" si="0"/>
        <v>0.67750297158641448</v>
      </c>
      <c r="I7">
        <f t="shared" si="0"/>
        <v>0.64313725490196083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4AAB-C96D-4B61-B743-7380840DFECB}">
  <dimension ref="A1:I7"/>
  <sheetViews>
    <sheetView workbookViewId="0">
      <selection activeCell="D23" sqref="D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0.63541666666666663</v>
      </c>
      <c r="C2">
        <v>0.71544715447154472</v>
      </c>
      <c r="D2">
        <v>0.61111111111111116</v>
      </c>
      <c r="E2">
        <v>0.86274509803921573</v>
      </c>
      <c r="F2">
        <v>0.625</v>
      </c>
      <c r="G2">
        <v>0.68421052631578949</v>
      </c>
      <c r="H2">
        <v>0.61904761904761907</v>
      </c>
      <c r="I2">
        <v>0.76470588235294112</v>
      </c>
    </row>
    <row r="3" spans="1:9" x14ac:dyDescent="0.3">
      <c r="A3">
        <v>1002</v>
      </c>
      <c r="B3">
        <v>0.625</v>
      </c>
      <c r="C3">
        <v>0.68421052631578949</v>
      </c>
      <c r="D3">
        <v>0.61904761904761907</v>
      </c>
      <c r="E3">
        <v>0.76470588235294112</v>
      </c>
      <c r="F3">
        <v>0.625</v>
      </c>
      <c r="G3">
        <v>0.66666666666666663</v>
      </c>
      <c r="H3">
        <v>0.63157894736842102</v>
      </c>
      <c r="I3">
        <v>0.70588235294117652</v>
      </c>
    </row>
    <row r="4" spans="1:9" x14ac:dyDescent="0.3">
      <c r="A4">
        <v>1003</v>
      </c>
      <c r="B4">
        <v>0.60416666666666663</v>
      </c>
      <c r="C4">
        <v>0.6607142857142857</v>
      </c>
      <c r="D4">
        <v>0.60655737704918034</v>
      </c>
      <c r="E4">
        <v>0.72549019607843135</v>
      </c>
      <c r="F4">
        <v>0.61458333333333337</v>
      </c>
      <c r="G4">
        <v>0.64761904761904765</v>
      </c>
      <c r="H4">
        <v>0.62962962962962965</v>
      </c>
      <c r="I4">
        <v>0.66666666666666663</v>
      </c>
    </row>
    <row r="5" spans="1:9" x14ac:dyDescent="0.3">
      <c r="A5">
        <v>1004</v>
      </c>
      <c r="B5">
        <v>0.63541666666666663</v>
      </c>
      <c r="C5">
        <v>0.70588235294117652</v>
      </c>
      <c r="D5">
        <v>0.61764705882352944</v>
      </c>
      <c r="E5">
        <v>0.82352941176470584</v>
      </c>
      <c r="F5">
        <v>0.625</v>
      </c>
      <c r="G5">
        <v>0.6785714285714286</v>
      </c>
      <c r="H5">
        <v>0.62295081967213117</v>
      </c>
      <c r="I5">
        <v>0.74509803921568629</v>
      </c>
    </row>
    <row r="6" spans="1:9" x14ac:dyDescent="0.3">
      <c r="A6">
        <v>1005</v>
      </c>
      <c r="B6">
        <v>0.65625</v>
      </c>
      <c r="C6">
        <v>0.72727272727272729</v>
      </c>
      <c r="D6">
        <v>0.62857142857142856</v>
      </c>
      <c r="E6">
        <v>0.86274509803921573</v>
      </c>
      <c r="F6">
        <v>0.58333333333333337</v>
      </c>
      <c r="G6">
        <v>0.65517241379310343</v>
      </c>
      <c r="H6">
        <v>0.58461538461538465</v>
      </c>
      <c r="I6">
        <v>0.74509803921568629</v>
      </c>
    </row>
    <row r="7" spans="1:9" x14ac:dyDescent="0.3">
      <c r="B7">
        <f>AVERAGE(B2:B6)</f>
        <v>0.63124999999999987</v>
      </c>
      <c r="C7">
        <f t="shared" ref="C7:I7" si="0">AVERAGE(C2:C6)</f>
        <v>0.69870540934310488</v>
      </c>
      <c r="D7">
        <f t="shared" si="0"/>
        <v>0.61658691892057371</v>
      </c>
      <c r="E7">
        <f t="shared" si="0"/>
        <v>0.80784313725490198</v>
      </c>
      <c r="F7">
        <f t="shared" si="0"/>
        <v>0.61458333333333337</v>
      </c>
      <c r="G7">
        <f t="shared" si="0"/>
        <v>0.66644801659320707</v>
      </c>
      <c r="H7">
        <f t="shared" si="0"/>
        <v>0.61756448006663711</v>
      </c>
      <c r="I7">
        <f t="shared" si="0"/>
        <v>0.72549019607843135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7998-658C-4845-961C-69793D2DD8D7}">
  <dimension ref="A1:I7"/>
  <sheetViews>
    <sheetView workbookViewId="0">
      <selection activeCell="D23" sqref="D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0.59375</v>
      </c>
      <c r="C2">
        <v>0.68292682926829273</v>
      </c>
      <c r="D2">
        <v>0.58333333333333337</v>
      </c>
      <c r="E2">
        <v>0.82352941176470584</v>
      </c>
      <c r="F2">
        <v>0.59375</v>
      </c>
      <c r="G2">
        <v>0.67226890756302526</v>
      </c>
      <c r="H2">
        <v>0.58823529411764708</v>
      </c>
      <c r="I2">
        <v>0.78431372549019607</v>
      </c>
    </row>
    <row r="3" spans="1:9" x14ac:dyDescent="0.3">
      <c r="A3">
        <v>1002</v>
      </c>
      <c r="B3">
        <v>0.5625</v>
      </c>
      <c r="C3">
        <v>0.65573770491803274</v>
      </c>
      <c r="D3">
        <v>0.56338028169014087</v>
      </c>
      <c r="E3">
        <v>0.78431372549019607</v>
      </c>
      <c r="F3">
        <v>0.60416666666666663</v>
      </c>
      <c r="G3">
        <v>0.67241379310344829</v>
      </c>
      <c r="H3">
        <v>0.6</v>
      </c>
      <c r="I3">
        <v>0.76470588235294112</v>
      </c>
    </row>
    <row r="4" spans="1:9" x14ac:dyDescent="0.3">
      <c r="A4">
        <v>1003</v>
      </c>
      <c r="B4">
        <v>0.5625</v>
      </c>
      <c r="C4">
        <v>0.66129032258064513</v>
      </c>
      <c r="D4">
        <v>0.56164383561643838</v>
      </c>
      <c r="E4">
        <v>0.80392156862745101</v>
      </c>
      <c r="F4">
        <v>0.57291666666666663</v>
      </c>
      <c r="G4">
        <v>0.65546218487394958</v>
      </c>
      <c r="H4">
        <v>0.57352941176470584</v>
      </c>
      <c r="I4">
        <v>0.76470588235294112</v>
      </c>
    </row>
    <row r="5" spans="1:9" x14ac:dyDescent="0.3">
      <c r="A5">
        <v>1004</v>
      </c>
      <c r="B5">
        <v>0.5625</v>
      </c>
      <c r="C5">
        <v>0.64406779661016944</v>
      </c>
      <c r="D5">
        <v>0.56716417910447758</v>
      </c>
      <c r="E5">
        <v>0.74509803921568629</v>
      </c>
      <c r="F5">
        <v>0.5625</v>
      </c>
      <c r="G5">
        <v>0.64406779661016944</v>
      </c>
      <c r="H5">
        <v>0.56716417910447758</v>
      </c>
      <c r="I5">
        <v>0.74509803921568629</v>
      </c>
    </row>
    <row r="6" spans="1:9" x14ac:dyDescent="0.3">
      <c r="A6">
        <v>1005</v>
      </c>
      <c r="B6">
        <v>0.61458333333333337</v>
      </c>
      <c r="C6">
        <v>0.68376068376068377</v>
      </c>
      <c r="D6">
        <v>0.60606060606060608</v>
      </c>
      <c r="E6">
        <v>0.78431372549019607</v>
      </c>
      <c r="F6">
        <v>0.63541666666666663</v>
      </c>
      <c r="G6">
        <v>0.69026548672566368</v>
      </c>
      <c r="H6">
        <v>0.62903225806451613</v>
      </c>
      <c r="I6">
        <v>0.76470588235294112</v>
      </c>
    </row>
    <row r="7" spans="1:9" x14ac:dyDescent="0.3">
      <c r="B7">
        <f>AVERAGE(B2:B6)</f>
        <v>0.57916666666666672</v>
      </c>
      <c r="C7">
        <f t="shared" ref="C7:I7" si="0">AVERAGE(C2:C6)</f>
        <v>0.6655566674275647</v>
      </c>
      <c r="D7">
        <f t="shared" si="0"/>
        <v>0.57631644716099928</v>
      </c>
      <c r="E7">
        <f t="shared" si="0"/>
        <v>0.78823529411764715</v>
      </c>
      <c r="F7">
        <f t="shared" si="0"/>
        <v>0.59374999999999989</v>
      </c>
      <c r="G7">
        <f t="shared" si="0"/>
        <v>0.66689563377525118</v>
      </c>
      <c r="H7">
        <f t="shared" si="0"/>
        <v>0.59159222861026928</v>
      </c>
      <c r="I7">
        <f t="shared" si="0"/>
        <v>0.76470588235294112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14CF-2C22-4B28-B78C-CCDE5C770A7A}">
  <dimension ref="A1:I7"/>
  <sheetViews>
    <sheetView workbookViewId="0">
      <selection activeCell="D23" sqref="D23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0.58333333333333337</v>
      </c>
      <c r="C2">
        <v>0.64912280701754388</v>
      </c>
      <c r="D2">
        <v>0.58730158730158732</v>
      </c>
      <c r="E2">
        <v>0.72549019607843135</v>
      </c>
      <c r="F2">
        <v>0.58333333333333337</v>
      </c>
      <c r="G2">
        <v>0.63636363636363635</v>
      </c>
      <c r="H2">
        <v>0.59322033898305082</v>
      </c>
      <c r="I2">
        <v>0.68627450980392157</v>
      </c>
    </row>
    <row r="3" spans="1:9" x14ac:dyDescent="0.3">
      <c r="A3">
        <v>1002</v>
      </c>
      <c r="B3">
        <v>0.55208333333333337</v>
      </c>
      <c r="C3">
        <v>0.6386554621848739</v>
      </c>
      <c r="D3">
        <v>0.55882352941176472</v>
      </c>
      <c r="E3">
        <v>0.74509803921568629</v>
      </c>
      <c r="F3">
        <v>0.59375</v>
      </c>
      <c r="G3">
        <v>0.65486725663716816</v>
      </c>
      <c r="H3">
        <v>0.59677419354838712</v>
      </c>
      <c r="I3">
        <v>0.72549019607843135</v>
      </c>
    </row>
    <row r="4" spans="1:9" x14ac:dyDescent="0.3">
      <c r="A4">
        <v>1003</v>
      </c>
      <c r="B4">
        <v>0.55208333333333337</v>
      </c>
      <c r="C4">
        <v>0.63247863247863245</v>
      </c>
      <c r="D4">
        <v>0.56060606060606055</v>
      </c>
      <c r="E4">
        <v>0.72549019607843135</v>
      </c>
      <c r="F4">
        <v>0.57291666666666663</v>
      </c>
      <c r="G4">
        <v>0.64347826086956517</v>
      </c>
      <c r="H4">
        <v>0.578125</v>
      </c>
      <c r="I4">
        <v>0.72549019607843135</v>
      </c>
    </row>
    <row r="5" spans="1:9" x14ac:dyDescent="0.3">
      <c r="A5">
        <v>1004</v>
      </c>
      <c r="B5">
        <v>0.5625</v>
      </c>
      <c r="C5">
        <v>0.64406779661016944</v>
      </c>
      <c r="D5">
        <v>0.56716417910447758</v>
      </c>
      <c r="E5">
        <v>0.74509803921568629</v>
      </c>
      <c r="F5">
        <v>0.60416666666666663</v>
      </c>
      <c r="G5">
        <v>0.66666666666666663</v>
      </c>
      <c r="H5">
        <v>0.60317460317460314</v>
      </c>
      <c r="I5">
        <v>0.74509803921568629</v>
      </c>
    </row>
    <row r="6" spans="1:9" x14ac:dyDescent="0.3">
      <c r="A6">
        <v>1005</v>
      </c>
      <c r="B6">
        <v>0.57291666666666663</v>
      </c>
      <c r="C6">
        <v>0.63716814159292035</v>
      </c>
      <c r="D6">
        <v>0.58064516129032262</v>
      </c>
      <c r="E6">
        <v>0.70588235294117652</v>
      </c>
      <c r="F6">
        <v>0.61458333333333337</v>
      </c>
      <c r="G6">
        <v>0.65420560747663548</v>
      </c>
      <c r="H6">
        <v>0.625</v>
      </c>
      <c r="I6">
        <v>0.68627450980392157</v>
      </c>
    </row>
    <row r="7" spans="1:9" x14ac:dyDescent="0.3">
      <c r="B7">
        <f>AVERAGE(B2:B6)</f>
        <v>0.56458333333333333</v>
      </c>
      <c r="C7">
        <f t="shared" ref="C7:I7" si="0">AVERAGE(C2:C6)</f>
        <v>0.64029856797682805</v>
      </c>
      <c r="D7">
        <f t="shared" si="0"/>
        <v>0.57090810354284249</v>
      </c>
      <c r="E7">
        <f t="shared" si="0"/>
        <v>0.72941176470588243</v>
      </c>
      <c r="F7">
        <f t="shared" si="0"/>
        <v>0.59375</v>
      </c>
      <c r="G7">
        <f t="shared" si="0"/>
        <v>0.65111628560273427</v>
      </c>
      <c r="H7">
        <f t="shared" si="0"/>
        <v>0.59925882714120826</v>
      </c>
      <c r="I7">
        <f t="shared" si="0"/>
        <v>0.71372549019607834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5EA8-FBD2-4B76-AB50-54E845A94F46}">
  <dimension ref="A1:I7"/>
  <sheetViews>
    <sheetView topLeftCell="C1"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0.53125</v>
      </c>
      <c r="C2">
        <v>0.62809917355371903</v>
      </c>
      <c r="D2">
        <v>0.54285714285714282</v>
      </c>
      <c r="E2">
        <v>0.74509803921568629</v>
      </c>
      <c r="F2">
        <v>0.55208333333333337</v>
      </c>
      <c r="G2">
        <v>0.63247863247863245</v>
      </c>
      <c r="H2">
        <v>0.56060606060606055</v>
      </c>
      <c r="I2">
        <v>0.72549019607843135</v>
      </c>
    </row>
    <row r="3" spans="1:9" x14ac:dyDescent="0.3">
      <c r="A3">
        <v>1002</v>
      </c>
      <c r="B3">
        <v>0.53125</v>
      </c>
      <c r="C3">
        <v>0.63414634146341464</v>
      </c>
      <c r="D3">
        <v>0.54166666666666663</v>
      </c>
      <c r="E3">
        <v>0.76470588235294112</v>
      </c>
      <c r="F3">
        <v>0.53125</v>
      </c>
      <c r="G3">
        <v>0.61538461538461542</v>
      </c>
      <c r="H3">
        <v>0.54545454545454541</v>
      </c>
      <c r="I3">
        <v>0.70588235294117652</v>
      </c>
    </row>
    <row r="4" spans="1:9" x14ac:dyDescent="0.3">
      <c r="A4">
        <v>1003</v>
      </c>
      <c r="B4">
        <v>0.54166666666666663</v>
      </c>
      <c r="C4">
        <v>0.6333333333333333</v>
      </c>
      <c r="D4">
        <v>0.55072463768115942</v>
      </c>
      <c r="E4">
        <v>0.74509803921568629</v>
      </c>
      <c r="F4">
        <v>0.55208333333333337</v>
      </c>
      <c r="G4">
        <v>0.62608695652173918</v>
      </c>
      <c r="H4">
        <v>0.5625</v>
      </c>
      <c r="I4">
        <v>0.70588235294117652</v>
      </c>
    </row>
    <row r="5" spans="1:9" x14ac:dyDescent="0.3">
      <c r="A5">
        <v>1004</v>
      </c>
      <c r="B5">
        <v>0.54166666666666663</v>
      </c>
      <c r="C5">
        <v>0.6271186440677966</v>
      </c>
      <c r="D5">
        <v>0.55223880597014929</v>
      </c>
      <c r="E5">
        <v>0.72549019607843135</v>
      </c>
      <c r="F5">
        <v>0.52083333333333337</v>
      </c>
      <c r="G5">
        <v>0.59649122807017541</v>
      </c>
      <c r="H5">
        <v>0.53968253968253965</v>
      </c>
      <c r="I5">
        <v>0.66666666666666663</v>
      </c>
    </row>
    <row r="6" spans="1:9" x14ac:dyDescent="0.3">
      <c r="A6">
        <v>1005</v>
      </c>
      <c r="B6">
        <v>0.55208333333333337</v>
      </c>
      <c r="C6">
        <v>0.61946902654867253</v>
      </c>
      <c r="D6">
        <v>0.56451612903225812</v>
      </c>
      <c r="E6">
        <v>0.68627450980392157</v>
      </c>
      <c r="F6">
        <v>0.55208333333333337</v>
      </c>
      <c r="G6">
        <v>0.61261261261261257</v>
      </c>
      <c r="H6">
        <v>0.56666666666666665</v>
      </c>
      <c r="I6">
        <v>0.66666666666666663</v>
      </c>
    </row>
    <row r="7" spans="1:9" x14ac:dyDescent="0.3">
      <c r="B7">
        <f>SUBTOTAL(101,whisper_log_single1_auto_no____2[acc_test])</f>
        <v>0.5395833333333333</v>
      </c>
      <c r="C7">
        <f>SUBTOTAL(101,whisper_log_single1_auto_no____2[f1])</f>
        <v>0.62843330379338724</v>
      </c>
      <c r="D7">
        <f>SUBTOTAL(101,whisper_log_single1_auto_no____2[precision])</f>
        <v>0.55040067644147528</v>
      </c>
      <c r="E7">
        <f>SUBTOTAL(101,whisper_log_single1_auto_no____2[recall])</f>
        <v>0.73333333333333339</v>
      </c>
      <c r="F7">
        <f>SUBTOTAL(101,whisper_log_single1_auto_no____2[acc_test_vote])</f>
        <v>0.54166666666666674</v>
      </c>
      <c r="G7">
        <f>SUBTOTAL(101,whisper_log_single1_auto_no____2[f1_vote])</f>
        <v>0.61661080901355503</v>
      </c>
      <c r="H7">
        <f>SUBTOTAL(101,whisper_log_single1_auto_no____2[precision_vote])</f>
        <v>0.55498196248196252</v>
      </c>
      <c r="I7">
        <f>SUBTOTAL(101,whisper_log_single1_auto_no____2[recall_vote])</f>
        <v>0.69411764705882351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65D6-2344-42EC-8139-62DCF546BE52}"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1002</v>
      </c>
      <c r="B2">
        <v>0.6875</v>
      </c>
      <c r="C2">
        <v>0.72222222222222221</v>
      </c>
      <c r="D2">
        <v>0.68421052631578949</v>
      </c>
      <c r="E2">
        <v>0.76470588235294112</v>
      </c>
      <c r="F2">
        <v>0.6875</v>
      </c>
      <c r="G2">
        <v>0.71153846153846156</v>
      </c>
      <c r="H2">
        <v>0.69811320754716977</v>
      </c>
      <c r="I2">
        <v>0.72549019607843135</v>
      </c>
    </row>
    <row r="3" spans="1:9" x14ac:dyDescent="0.3">
      <c r="A3">
        <v>1003</v>
      </c>
      <c r="B3">
        <v>0.73958333333333337</v>
      </c>
      <c r="C3">
        <v>0.78260869565217395</v>
      </c>
      <c r="D3">
        <v>0.703125</v>
      </c>
      <c r="E3">
        <v>0.88235294117647056</v>
      </c>
      <c r="F3">
        <v>0.73958333333333337</v>
      </c>
      <c r="G3">
        <v>0.77064220183486243</v>
      </c>
      <c r="H3">
        <v>0.72413793103448276</v>
      </c>
      <c r="I3">
        <v>0.82352941176470584</v>
      </c>
    </row>
    <row r="4" spans="1:9" x14ac:dyDescent="0.3">
      <c r="A4">
        <v>1004</v>
      </c>
      <c r="B4">
        <v>0.75</v>
      </c>
      <c r="C4">
        <v>0.8</v>
      </c>
      <c r="D4">
        <v>0.69565217391304346</v>
      </c>
      <c r="E4">
        <v>0.94117647058823517</v>
      </c>
      <c r="F4">
        <v>0.75</v>
      </c>
      <c r="G4">
        <v>0.78181818181818186</v>
      </c>
      <c r="H4">
        <v>0.72881355932203384</v>
      </c>
      <c r="I4">
        <v>0.84313725490196079</v>
      </c>
    </row>
    <row r="5" spans="1:9" x14ac:dyDescent="0.3">
      <c r="A5">
        <v>1005</v>
      </c>
      <c r="B5">
        <v>0.72916666666666663</v>
      </c>
      <c r="C5">
        <v>0.76363636363636367</v>
      </c>
      <c r="D5">
        <v>0.71186440677966101</v>
      </c>
      <c r="E5">
        <v>0.82352941176470584</v>
      </c>
      <c r="F5">
        <v>0.73958333333333337</v>
      </c>
      <c r="G5">
        <v>0.76190476190476186</v>
      </c>
      <c r="H5">
        <v>0.7407407407407407</v>
      </c>
      <c r="I5">
        <v>0.78431372549019607</v>
      </c>
    </row>
    <row r="6" spans="1:9" x14ac:dyDescent="0.3">
      <c r="A6">
        <v>1001</v>
      </c>
      <c r="B6">
        <v>0.70833333333333337</v>
      </c>
      <c r="C6">
        <v>0.74545454545454548</v>
      </c>
      <c r="D6">
        <v>0.69491525423728817</v>
      </c>
      <c r="E6">
        <v>0.80392156862745101</v>
      </c>
      <c r="F6">
        <v>0.73958333333333337</v>
      </c>
      <c r="G6">
        <v>0.75728155339805825</v>
      </c>
      <c r="H6">
        <v>0.75</v>
      </c>
      <c r="I6">
        <v>0.76470588235294112</v>
      </c>
    </row>
    <row r="7" spans="1:9" x14ac:dyDescent="0.3">
      <c r="B7">
        <f>AVERAGE((B2:B6))</f>
        <v>0.72291666666666665</v>
      </c>
      <c r="C7">
        <f t="shared" ref="C7:I7" si="0">AVERAGE((C2:C6))</f>
        <v>0.76278436539306105</v>
      </c>
      <c r="D7">
        <f t="shared" si="0"/>
        <v>0.69795347224915638</v>
      </c>
      <c r="E7">
        <f t="shared" si="0"/>
        <v>0.84313725490196068</v>
      </c>
      <c r="F7">
        <f t="shared" si="0"/>
        <v>0.73125000000000007</v>
      </c>
      <c r="G7">
        <f t="shared" si="0"/>
        <v>0.75663703209886513</v>
      </c>
      <c r="H7">
        <f t="shared" si="0"/>
        <v>0.72836108772888541</v>
      </c>
      <c r="I7">
        <f t="shared" si="0"/>
        <v>0.78823529411764703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F9AB3-F1C9-4B83-BBFD-2A85899429B8}"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1002</v>
      </c>
      <c r="B2">
        <v>0.76041666666666663</v>
      </c>
      <c r="C2">
        <v>0.7927927927927928</v>
      </c>
      <c r="D2">
        <v>0.73333333333333328</v>
      </c>
      <c r="E2">
        <v>0.86274509803921573</v>
      </c>
      <c r="F2">
        <v>0.79166666666666663</v>
      </c>
      <c r="G2">
        <v>0.80392156862745101</v>
      </c>
      <c r="H2">
        <v>0.80392156862745101</v>
      </c>
      <c r="I2">
        <v>0.80392156862745101</v>
      </c>
    </row>
    <row r="3" spans="1:9" x14ac:dyDescent="0.3">
      <c r="A3">
        <v>1003</v>
      </c>
      <c r="B3">
        <v>0.82291666666666663</v>
      </c>
      <c r="C3">
        <v>0.83495145631067957</v>
      </c>
      <c r="D3">
        <v>0.82692307692307687</v>
      </c>
      <c r="E3">
        <v>0.84313725490196079</v>
      </c>
      <c r="F3">
        <v>0.84375</v>
      </c>
      <c r="G3">
        <v>0.84536082474226804</v>
      </c>
      <c r="H3">
        <v>0.89130434782608692</v>
      </c>
      <c r="I3">
        <v>0.80392156862745101</v>
      </c>
    </row>
    <row r="4" spans="1:9" x14ac:dyDescent="0.3">
      <c r="A4">
        <v>1004</v>
      </c>
      <c r="B4">
        <v>0.8125</v>
      </c>
      <c r="C4">
        <v>0.83018867924528306</v>
      </c>
      <c r="D4">
        <v>0.8</v>
      </c>
      <c r="E4">
        <v>0.86274509803921573</v>
      </c>
      <c r="F4">
        <v>0.8125</v>
      </c>
      <c r="G4">
        <v>0.81632653061224492</v>
      </c>
      <c r="H4">
        <v>0.85106382978723405</v>
      </c>
      <c r="I4">
        <v>0.78431372549019607</v>
      </c>
    </row>
    <row r="5" spans="1:9" x14ac:dyDescent="0.3">
      <c r="A5">
        <v>1005</v>
      </c>
      <c r="B5">
        <v>0.76041666666666663</v>
      </c>
      <c r="C5">
        <v>0.78095238095238095</v>
      </c>
      <c r="D5">
        <v>0.7592592592592593</v>
      </c>
      <c r="E5">
        <v>0.80392156862745101</v>
      </c>
      <c r="F5">
        <v>0.78125</v>
      </c>
      <c r="G5">
        <v>0.78787878787878785</v>
      </c>
      <c r="H5">
        <v>0.8125</v>
      </c>
      <c r="I5">
        <v>0.76470588235294112</v>
      </c>
    </row>
    <row r="6" spans="1:9" x14ac:dyDescent="0.3">
      <c r="A6">
        <v>1001</v>
      </c>
      <c r="B6">
        <v>0.79166666666666663</v>
      </c>
      <c r="C6">
        <v>0.81481481481481477</v>
      </c>
      <c r="D6">
        <v>0.77192982456140347</v>
      </c>
      <c r="E6">
        <v>0.86274509803921573</v>
      </c>
      <c r="F6">
        <v>0.83333333333333337</v>
      </c>
      <c r="G6">
        <v>0.84313725490196079</v>
      </c>
      <c r="H6">
        <v>0.84313725490196079</v>
      </c>
      <c r="I6">
        <v>0.84313725490196079</v>
      </c>
    </row>
    <row r="7" spans="1:9" x14ac:dyDescent="0.3">
      <c r="B7">
        <f>AVERAGE((B2:B6))</f>
        <v>0.78958333333333319</v>
      </c>
      <c r="C7">
        <f t="shared" ref="C7:I7" si="0">AVERAGE((C2:C6))</f>
        <v>0.8107400248231903</v>
      </c>
      <c r="D7">
        <f t="shared" si="0"/>
        <v>0.77828909881541453</v>
      </c>
      <c r="E7">
        <f t="shared" si="0"/>
        <v>0.84705882352941197</v>
      </c>
      <c r="F7">
        <f t="shared" si="0"/>
        <v>0.8125</v>
      </c>
      <c r="G7">
        <f t="shared" si="0"/>
        <v>0.81932499335254239</v>
      </c>
      <c r="H7">
        <f t="shared" si="0"/>
        <v>0.84038540022854646</v>
      </c>
      <c r="I7">
        <f t="shared" si="0"/>
        <v>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BF53-B29C-43F4-A0C7-4BAF8A081B6A}">
  <sheetPr codeName="Sheet13"/>
  <dimension ref="B1:C13"/>
  <sheetViews>
    <sheetView tabSelected="1" workbookViewId="0">
      <selection activeCell="C17" sqref="C17"/>
    </sheetView>
  </sheetViews>
  <sheetFormatPr defaultRowHeight="14" x14ac:dyDescent="0.3"/>
  <sheetData>
    <row r="1" spans="2:3" x14ac:dyDescent="0.3">
      <c r="B1">
        <f ca="1">INDIRECT("'"&amp; 1 &amp; "'!F7")</f>
        <v>0.54166666666666674</v>
      </c>
      <c r="C1">
        <f ca="1">INDIRECT("'"&amp; 1 &amp; "'!G7")</f>
        <v>0.61661080901355503</v>
      </c>
    </row>
    <row r="2" spans="2:3" x14ac:dyDescent="0.3">
      <c r="B2">
        <f ca="1">INDIRECT("'"&amp; 2 &amp; "'!F7")</f>
        <v>0.59375</v>
      </c>
      <c r="C2">
        <f ca="1">INDIRECT("'"&amp; 2 &amp; "'!G7")</f>
        <v>0.65111628560273427</v>
      </c>
    </row>
    <row r="3" spans="2:3" x14ac:dyDescent="0.3">
      <c r="B3">
        <f ca="1">INDIRECT("'"&amp; 3 &amp; "'!F7")</f>
        <v>0.59374999999999989</v>
      </c>
      <c r="C3">
        <f ca="1">INDIRECT("'"&amp; 3 &amp; "'!G7")</f>
        <v>0.66689563377525118</v>
      </c>
    </row>
    <row r="4" spans="2:3" x14ac:dyDescent="0.3">
      <c r="B4">
        <f ca="1">INDIRECT("'"&amp; 4 &amp; "'!F7")</f>
        <v>0.61458333333333337</v>
      </c>
      <c r="C4">
        <f ca="1">INDIRECT("'"&amp; 4 &amp; "'!G7")</f>
        <v>0.66644801659320707</v>
      </c>
    </row>
    <row r="5" spans="2:3" x14ac:dyDescent="0.3">
      <c r="B5">
        <f ca="1">INDIRECT("'"&amp; 5 &amp; "'!F7")</f>
        <v>0.6479166666666667</v>
      </c>
      <c r="C5">
        <f ca="1">INDIRECT("'"&amp; 5 &amp; "'!G7")</f>
        <v>0.65966011971799032</v>
      </c>
    </row>
    <row r="6" spans="2:3" x14ac:dyDescent="0.3">
      <c r="B6">
        <f ca="1">INDIRECT("'"&amp; 6 &amp; "'!F7")</f>
        <v>0.71250000000000013</v>
      </c>
      <c r="C6">
        <f ca="1">INDIRECT("'"&amp; 6 &amp; "'!G7")</f>
        <v>0.73572554255347</v>
      </c>
    </row>
    <row r="7" spans="2:3" x14ac:dyDescent="0.3">
      <c r="B7">
        <f ca="1">INDIRECT("'"&amp; 7 &amp; "'!F7")</f>
        <v>0.73125000000000007</v>
      </c>
      <c r="C7">
        <f ca="1">INDIRECT("'"&amp; 7 &amp; "'!G7")</f>
        <v>0.75663703209886513</v>
      </c>
    </row>
    <row r="8" spans="2:3" x14ac:dyDescent="0.3">
      <c r="B8">
        <f ca="1">INDIRECT("'"&amp; 8 &amp; "'!F7")</f>
        <v>0.80833333333333335</v>
      </c>
      <c r="C8">
        <f ca="1">INDIRECT("'"&amp; 8 &amp; "'!G7")</f>
        <v>0.8163199895342752</v>
      </c>
    </row>
    <row r="9" spans="2:3" x14ac:dyDescent="0.3">
      <c r="B9">
        <f ca="1">INDIRECT("'"&amp; 9 &amp; "'!F7")</f>
        <v>0.8125</v>
      </c>
      <c r="C9">
        <f ca="1">INDIRECT("'"&amp; 9 &amp; "'!G7")</f>
        <v>0.81656565656565649</v>
      </c>
    </row>
    <row r="10" spans="2:3" x14ac:dyDescent="0.3">
      <c r="B10">
        <f ca="1">INDIRECT("'"&amp; 10 &amp; "'!F7")</f>
        <v>0.8125</v>
      </c>
      <c r="C10">
        <f ca="1">INDIRECT("'"&amp; 10 &amp; "'!G7")</f>
        <v>0.81932499335254239</v>
      </c>
    </row>
    <row r="11" spans="2:3" x14ac:dyDescent="0.3">
      <c r="B11">
        <f ca="1">INDIRECT("'"&amp; 11 &amp; "'!F7")</f>
        <v>0.82916666666666683</v>
      </c>
      <c r="C11">
        <f ca="1">INDIRECT("'"&amp; 11 &amp; "'!G7")</f>
        <v>0.83514916294540298</v>
      </c>
    </row>
    <row r="12" spans="2:3" x14ac:dyDescent="0.3">
      <c r="B12">
        <f ca="1">INDIRECT("'"&amp; 12 &amp; "'!F7")</f>
        <v>0.84791666666666665</v>
      </c>
      <c r="C12">
        <f ca="1">INDIRECT("'"&amp; 12 &amp; "'!G7")</f>
        <v>0.85151711438300881</v>
      </c>
    </row>
    <row r="13" spans="2:3" x14ac:dyDescent="0.3">
      <c r="B13" t="s">
        <v>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86756E-E117-406B-B554-B9AE79E7CC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12</vt:lpstr>
      <vt:lpstr>11</vt:lpstr>
      <vt:lpstr>9</vt:lpstr>
      <vt:lpstr>8</vt:lpstr>
      <vt:lpstr>6</vt:lpstr>
      <vt:lpstr>5</vt:lpstr>
      <vt:lpstr>4</vt:lpstr>
      <vt:lpstr>3</vt:lpstr>
      <vt:lpstr>2</vt:lpstr>
      <vt:lpstr>1</vt:lpstr>
      <vt:lpstr>7</vt:lpstr>
      <vt:lpstr>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yu</dc:creator>
  <cp:lastModifiedBy>sc yu</cp:lastModifiedBy>
  <dcterms:created xsi:type="dcterms:W3CDTF">2025-10-26T14:52:46Z</dcterms:created>
  <dcterms:modified xsi:type="dcterms:W3CDTF">2025-11-01T13:32:54Z</dcterms:modified>
</cp:coreProperties>
</file>